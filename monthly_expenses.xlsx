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kashkopi/Documents/Personal Code Projects/expenses_calculator/"/>
    </mc:Choice>
  </mc:AlternateContent>
  <xr:revisionPtr revIDLastSave="0" documentId="13_ncr:1_{B223C627-1C9C-0C43-A617-CEA6CF2291B3}" xr6:coauthVersionLast="47" xr6:coauthVersionMax="47" xr10:uidLastSave="{00000000-0000-0000-0000-000000000000}"/>
  <bookViews>
    <workbookView xWindow="4440" yWindow="760" windowWidth="25800" windowHeight="18880" activeTab="4" xr2:uid="{00000000-000D-0000-FFFF-FFFF00000000}"/>
  </bookViews>
  <sheets>
    <sheet name="Template" sheetId="1" r:id="rId1"/>
    <sheet name="March 2025" sheetId="2" r:id="rId2"/>
    <sheet name="April 2025" sheetId="3" r:id="rId3"/>
    <sheet name="May 2025" sheetId="4" r:id="rId4"/>
    <sheet name="June 2025" sheetId="5" r:id="rId5"/>
    <sheet name="July 2025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K2" i="6" s="1"/>
  <c r="J2" i="5"/>
  <c r="K2" i="5" s="1"/>
  <c r="J2" i="4"/>
  <c r="K2" i="4"/>
  <c r="J2" i="3"/>
  <c r="K2" i="3"/>
  <c r="J2" i="2"/>
  <c r="K2" i="2"/>
  <c r="J2" i="1"/>
  <c r="K2" i="1"/>
</calcChain>
</file>

<file path=xl/sharedStrings.xml><?xml version="1.0" encoding="utf-8"?>
<sst xmlns="http://schemas.openxmlformats.org/spreadsheetml/2006/main" count="584" uniqueCount="143">
  <si>
    <t>Category</t>
  </si>
  <si>
    <t>Sub-Category</t>
  </si>
  <si>
    <t>Amount Spent</t>
  </si>
  <si>
    <t>Total Amount Spent</t>
  </si>
  <si>
    <t>Total Amount Saved</t>
  </si>
  <si>
    <t>Tesla</t>
  </si>
  <si>
    <t>Car Payment</t>
  </si>
  <si>
    <t>Insurance</t>
  </si>
  <si>
    <t>Premium Service</t>
  </si>
  <si>
    <t>Apple</t>
  </si>
  <si>
    <t>Applecare (Watch)</t>
  </si>
  <si>
    <t>Applecare(Phone)</t>
  </si>
  <si>
    <t>iCloud Storage</t>
  </si>
  <si>
    <t>Apple Music</t>
  </si>
  <si>
    <t>Gym</t>
  </si>
  <si>
    <t>Exos</t>
  </si>
  <si>
    <t>Carpenter</t>
  </si>
  <si>
    <t>Applecare(iPad)</t>
  </si>
  <si>
    <t>Windshield Replacement</t>
  </si>
  <si>
    <t>Za</t>
  </si>
  <si>
    <t>HTown Smoke</t>
  </si>
  <si>
    <t>Food</t>
  </si>
  <si>
    <t>Uber Eats</t>
  </si>
  <si>
    <t>CFA</t>
  </si>
  <si>
    <t>AA Café</t>
  </si>
  <si>
    <t>Amazon</t>
  </si>
  <si>
    <t>Don't Remember</t>
  </si>
  <si>
    <t>Uber</t>
  </si>
  <si>
    <t>Other</t>
  </si>
  <si>
    <t>CB Euless Online</t>
  </si>
  <si>
    <t>Grubhub</t>
  </si>
  <si>
    <t>Transportation</t>
  </si>
  <si>
    <t>Uber (DC)</t>
  </si>
  <si>
    <t>Moltn Cookies</t>
  </si>
  <si>
    <t>Bread Furst</t>
  </si>
  <si>
    <t>Talkin Tacos</t>
  </si>
  <si>
    <t>Smart Trip DC</t>
  </si>
  <si>
    <t>Unconventional Diner</t>
  </si>
  <si>
    <t>Sakuramen</t>
  </si>
  <si>
    <t>Starbucks</t>
  </si>
  <si>
    <t>Il Canale</t>
  </si>
  <si>
    <t>NTTA</t>
  </si>
  <si>
    <t>Google Services</t>
  </si>
  <si>
    <t>Baked and Wired</t>
  </si>
  <si>
    <t>Mcdonalds</t>
  </si>
  <si>
    <t>Chipotle</t>
  </si>
  <si>
    <t>Buccees</t>
  </si>
  <si>
    <t>Uber (Houston)</t>
  </si>
  <si>
    <t>Fun</t>
  </si>
  <si>
    <t>Rodeo</t>
  </si>
  <si>
    <t>Mckinneys Big Texas Gril</t>
  </si>
  <si>
    <t xml:space="preserve">Abu Omar </t>
  </si>
  <si>
    <t>Bun Slut</t>
  </si>
  <si>
    <t>Dripped Birria</t>
  </si>
  <si>
    <t>Ergo Chair</t>
  </si>
  <si>
    <t>Bath Mat</t>
  </si>
  <si>
    <t>Texas Tulips</t>
  </si>
  <si>
    <t>BJ's</t>
  </si>
  <si>
    <t>Groceries</t>
  </si>
  <si>
    <t>HEB</t>
  </si>
  <si>
    <t xml:space="preserve">Dunkin </t>
  </si>
  <si>
    <t>Settebello Pizzaria</t>
  </si>
  <si>
    <t>HallPass</t>
  </si>
  <si>
    <t>Sbarro</t>
  </si>
  <si>
    <t>Uber (SLC)</t>
  </si>
  <si>
    <t>Park Mobile</t>
  </si>
  <si>
    <t>No Name Saloon Grill</t>
  </si>
  <si>
    <t>Patagonia</t>
  </si>
  <si>
    <t>Kings Peak Coffee Roasters</t>
  </si>
  <si>
    <t>Crystal Hot Springs</t>
  </si>
  <si>
    <t>Smashburger SLC</t>
  </si>
  <si>
    <t>Sunroom Coffee</t>
  </si>
  <si>
    <t>Loves Consumer</t>
  </si>
  <si>
    <t>Gifts</t>
  </si>
  <si>
    <t>Bellroy Sling (Akshen)</t>
  </si>
  <si>
    <t>Door Dash</t>
  </si>
  <si>
    <t>Chilis</t>
  </si>
  <si>
    <t>American Airlines</t>
  </si>
  <si>
    <t>Checked bag</t>
  </si>
  <si>
    <t>Hotel</t>
  </si>
  <si>
    <t>Days Inn</t>
  </si>
  <si>
    <t>Drinks</t>
  </si>
  <si>
    <t>Mayflower Club (DC)</t>
  </si>
  <si>
    <t>Decades (DC)</t>
  </si>
  <si>
    <t>Walmart</t>
  </si>
  <si>
    <t>Greenlight Social</t>
  </si>
  <si>
    <t>Friends Only</t>
  </si>
  <si>
    <t>LAZ Parking</t>
  </si>
  <si>
    <t>Leonardo Museum of Creativity (SLC)</t>
  </si>
  <si>
    <t>Lake Effect</t>
  </si>
  <si>
    <t>Budget (SLC)</t>
  </si>
  <si>
    <t>Magnet (DC)</t>
  </si>
  <si>
    <t>Nike Shoes (Luka)</t>
  </si>
  <si>
    <t>Just Smoke and Vape</t>
  </si>
  <si>
    <t>Eddies (SLC)</t>
  </si>
  <si>
    <t>365 Smoke and Vape</t>
  </si>
  <si>
    <t>Lulu Sweater (Periyamma)</t>
  </si>
  <si>
    <t>7-Eleven (Rithu)</t>
  </si>
  <si>
    <t>YYZ Airport</t>
  </si>
  <si>
    <t>Just Smoke &amp; Vape</t>
  </si>
  <si>
    <t>Mo Bettahs</t>
  </si>
  <si>
    <t>Wendy's</t>
  </si>
  <si>
    <t>Justin Wedding</t>
  </si>
  <si>
    <t>Pokeworks</t>
  </si>
  <si>
    <t>Dunkin</t>
  </si>
  <si>
    <t xml:space="preserve">Transportation </t>
  </si>
  <si>
    <t>Airbnb (Swethee Bday)</t>
  </si>
  <si>
    <t>Twin Peaks</t>
  </si>
  <si>
    <t>Toronto (YYZ)</t>
  </si>
  <si>
    <t>303 Bishops (Swethee Bday)</t>
  </si>
  <si>
    <t>Allie</t>
  </si>
  <si>
    <t>Kroger (Swethee Bday)</t>
  </si>
  <si>
    <t>Zenna</t>
  </si>
  <si>
    <t>Sarina Housewarming</t>
  </si>
  <si>
    <t>Amex</t>
  </si>
  <si>
    <t>Platinum Renewal</t>
  </si>
  <si>
    <t>Supercharger</t>
  </si>
  <si>
    <t>iPad Pro 11 M4</t>
  </si>
  <si>
    <t>iPad Kickstand</t>
  </si>
  <si>
    <t>Applecaere(Phone)</t>
  </si>
  <si>
    <t>Paris Baguette</t>
  </si>
  <si>
    <t>Creatine</t>
  </si>
  <si>
    <t>5g Scoop</t>
  </si>
  <si>
    <t>PSA Mens League</t>
  </si>
  <si>
    <t>Cinemark (Thug Life)</t>
  </si>
  <si>
    <t>Bharathi Night</t>
  </si>
  <si>
    <t>Parking (Bharathi Night)</t>
  </si>
  <si>
    <t>Creatine Scooper</t>
  </si>
  <si>
    <t>Gas</t>
  </si>
  <si>
    <t>BMW</t>
  </si>
  <si>
    <t>Body Measuring Tape</t>
  </si>
  <si>
    <t>3v3 Basketball Tournament (Mike)</t>
  </si>
  <si>
    <t>Genghis Grill</t>
  </si>
  <si>
    <t>Tim Hortons</t>
  </si>
  <si>
    <t>Clothes</t>
  </si>
  <si>
    <t>Saks Polo</t>
  </si>
  <si>
    <t>7-Eleven</t>
  </si>
  <si>
    <t>Auntie Annes</t>
  </si>
  <si>
    <t>Pita Land</t>
  </si>
  <si>
    <t>One Plant Bradford</t>
  </si>
  <si>
    <t>Olive Garden</t>
  </si>
  <si>
    <t>Subway</t>
  </si>
  <si>
    <t>Coco Ichibanya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</si>
</sst>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Helvetica"/>
      <family val="2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workbookViewId="0">
      <selection activeCell="D19" sqref="D19"/>
    </sheetView>
  </sheetViews>
  <sheetFormatPr baseColWidth="10" defaultColWidth="10.83203125" defaultRowHeight="16" x14ac:dyDescent="0.2"/>
  <cols>
    <col min="1" max="1" width="12.83203125" bestFit="1" customWidth="1"/>
    <col min="2" max="2" width="23" customWidth="1"/>
    <col min="3" max="3" width="17.5" bestFit="1" customWidth="1"/>
    <col min="10" max="10" width="17.6640625" bestFit="1" customWidth="1"/>
    <col min="11" max="11" width="18" bestFit="1" customWidth="1"/>
  </cols>
  <sheetData>
    <row r="1" spans="1:11" ht="15" customHeight="1" x14ac:dyDescent="0.2">
      <c r="A1" s="4" t="s">
        <v>0</v>
      </c>
      <c r="B1" s="4" t="s">
        <v>1</v>
      </c>
      <c r="C1" s="4" t="s">
        <v>2</v>
      </c>
      <c r="D1" s="4"/>
      <c r="J1" s="5" t="s">
        <v>3</v>
      </c>
      <c r="K1" s="5" t="s">
        <v>4</v>
      </c>
    </row>
    <row r="2" spans="1:11" ht="15" customHeight="1" x14ac:dyDescent="0.2">
      <c r="A2" s="1" t="s">
        <v>5</v>
      </c>
      <c r="B2" s="1" t="s">
        <v>6</v>
      </c>
      <c r="C2" s="1">
        <v>558</v>
      </c>
      <c r="D2" s="1"/>
      <c r="J2">
        <f>SUM(C:C)</f>
        <v>865.12999999999988</v>
      </c>
      <c r="K2">
        <f>4800 - J2</f>
        <v>3934.87</v>
      </c>
    </row>
    <row r="3" spans="1:11" ht="15" customHeight="1" x14ac:dyDescent="0.2">
      <c r="A3" s="1" t="s">
        <v>5</v>
      </c>
      <c r="B3" s="1" t="s">
        <v>7</v>
      </c>
      <c r="C3" s="1">
        <v>200</v>
      </c>
      <c r="D3" s="1"/>
    </row>
    <row r="4" spans="1:11" ht="15" customHeight="1" x14ac:dyDescent="0.2">
      <c r="A4" s="1" t="s">
        <v>5</v>
      </c>
      <c r="B4" s="1" t="s">
        <v>8</v>
      </c>
      <c r="C4" s="1">
        <v>11</v>
      </c>
      <c r="D4" s="1"/>
    </row>
    <row r="5" spans="1:11" ht="15" customHeight="1" x14ac:dyDescent="0.2">
      <c r="A5" s="1" t="s">
        <v>9</v>
      </c>
      <c r="B5" s="1" t="s">
        <v>10</v>
      </c>
      <c r="C5" s="1">
        <v>5.4</v>
      </c>
      <c r="D5" s="1"/>
    </row>
    <row r="6" spans="1:11" ht="15" customHeight="1" x14ac:dyDescent="0.2">
      <c r="A6" s="1" t="s">
        <v>9</v>
      </c>
      <c r="B6" s="1" t="s">
        <v>11</v>
      </c>
      <c r="C6" s="1">
        <v>10.81</v>
      </c>
      <c r="D6" s="1"/>
    </row>
    <row r="7" spans="1:11" ht="15" customHeight="1" x14ac:dyDescent="0.2">
      <c r="A7" s="1" t="s">
        <v>9</v>
      </c>
      <c r="B7" s="1" t="s">
        <v>12</v>
      </c>
      <c r="C7" s="1">
        <v>10.81</v>
      </c>
      <c r="D7" s="1"/>
    </row>
    <row r="8" spans="1:11" ht="15" customHeight="1" x14ac:dyDescent="0.2">
      <c r="A8" s="1" t="s">
        <v>9</v>
      </c>
      <c r="B8" s="1" t="s">
        <v>13</v>
      </c>
      <c r="C8" s="1">
        <v>12</v>
      </c>
      <c r="D8" s="1"/>
    </row>
    <row r="9" spans="1:11" ht="15" customHeight="1" x14ac:dyDescent="0.2">
      <c r="A9" s="1" t="s">
        <v>14</v>
      </c>
      <c r="B9" s="1" t="s">
        <v>15</v>
      </c>
      <c r="C9" s="1">
        <v>30</v>
      </c>
      <c r="D9" s="1"/>
    </row>
    <row r="10" spans="1:11" ht="15" customHeight="1" x14ac:dyDescent="0.2">
      <c r="A10" s="1" t="s">
        <v>14</v>
      </c>
      <c r="B10" s="1" t="s">
        <v>16</v>
      </c>
      <c r="C10" s="1">
        <v>19</v>
      </c>
      <c r="D10" s="1"/>
    </row>
    <row r="11" spans="1:11" ht="15" customHeight="1" x14ac:dyDescent="0.2">
      <c r="A11" s="1" t="s">
        <v>9</v>
      </c>
      <c r="B11" s="1" t="s">
        <v>17</v>
      </c>
      <c r="C11" s="1">
        <v>8.11</v>
      </c>
    </row>
    <row r="12" spans="1:11" ht="15" customHeight="1" x14ac:dyDescent="0.2">
      <c r="A12" s="1"/>
      <c r="B12" s="1"/>
      <c r="C12" s="1"/>
    </row>
    <row r="13" spans="1:11" ht="15" customHeight="1" x14ac:dyDescent="0.2">
      <c r="A13" s="1"/>
      <c r="B13" s="1"/>
      <c r="C13" s="1"/>
    </row>
    <row r="14" spans="1:11" ht="15" customHeight="1" x14ac:dyDescent="0.2">
      <c r="A14" s="1"/>
      <c r="B14" s="1"/>
      <c r="C14" s="1"/>
    </row>
    <row r="15" spans="1:11" ht="15" customHeight="1" x14ac:dyDescent="0.2">
      <c r="A15" s="1"/>
      <c r="B15" s="1"/>
      <c r="C15" s="1"/>
    </row>
    <row r="16" spans="1:11" ht="15" customHeight="1" x14ac:dyDescent="0.2">
      <c r="A16" s="1"/>
      <c r="B16" s="1"/>
      <c r="C16" s="1"/>
    </row>
    <row r="17" spans="1:3" ht="15" customHeight="1" x14ac:dyDescent="0.2">
      <c r="A17" s="1"/>
      <c r="B17" s="1"/>
      <c r="C17" s="1"/>
    </row>
    <row r="18" spans="1:3" ht="15" customHeight="1" x14ac:dyDescent="0.2">
      <c r="A18" s="1"/>
      <c r="B18" s="1"/>
      <c r="C18" s="1"/>
    </row>
    <row r="19" spans="1:3" ht="15" customHeight="1" x14ac:dyDescent="0.2">
      <c r="A19" s="1"/>
      <c r="B19" s="1"/>
      <c r="C19" s="1"/>
    </row>
    <row r="20" spans="1:3" ht="15" customHeight="1" x14ac:dyDescent="0.2">
      <c r="A20" s="1"/>
      <c r="B20" s="1"/>
      <c r="C20" s="1"/>
    </row>
    <row r="21" spans="1:3" ht="15" customHeight="1" x14ac:dyDescent="0.2">
      <c r="A21" s="1"/>
      <c r="B21" s="1"/>
      <c r="C21" s="1"/>
    </row>
    <row r="22" spans="1:3" ht="15" customHeight="1" x14ac:dyDescent="0.2">
      <c r="A22" s="1"/>
      <c r="B22" s="1"/>
      <c r="C22" s="1"/>
    </row>
    <row r="23" spans="1:3" ht="15" customHeight="1" x14ac:dyDescent="0.2">
      <c r="A23" s="1"/>
      <c r="B23" s="1"/>
      <c r="C23" s="1"/>
    </row>
    <row r="24" spans="1:3" ht="15" customHeight="1" x14ac:dyDescent="0.2">
      <c r="A24" s="1"/>
      <c r="B24" s="1"/>
      <c r="C24" s="1"/>
    </row>
    <row r="25" spans="1:3" ht="15" customHeight="1" x14ac:dyDescent="0.2">
      <c r="A25" s="1"/>
      <c r="B25" s="1"/>
      <c r="C25" s="1"/>
    </row>
    <row r="26" spans="1:3" ht="15" customHeight="1" x14ac:dyDescent="0.2">
      <c r="A26" s="1"/>
      <c r="B26" s="1"/>
      <c r="C26" s="1"/>
    </row>
    <row r="27" spans="1:3" ht="15" customHeight="1" x14ac:dyDescent="0.2">
      <c r="A27" s="1"/>
      <c r="B27" s="1"/>
      <c r="C27" s="1"/>
    </row>
    <row r="28" spans="1:3" ht="15" customHeight="1" x14ac:dyDescent="0.2">
      <c r="A28" s="1"/>
      <c r="B28" s="1"/>
      <c r="C28" s="1"/>
    </row>
    <row r="29" spans="1:3" ht="15" customHeight="1" x14ac:dyDescent="0.2">
      <c r="A29" s="1"/>
      <c r="B29" s="1"/>
      <c r="C29" s="1"/>
    </row>
    <row r="30" spans="1:3" ht="15" customHeight="1" x14ac:dyDescent="0.2">
      <c r="A30" s="1"/>
      <c r="B30" s="1"/>
      <c r="C30" s="1"/>
    </row>
    <row r="31" spans="1:3" ht="15.75" customHeight="1" x14ac:dyDescent="0.2">
      <c r="A31" s="1"/>
      <c r="B31" s="1"/>
      <c r="C31" s="2"/>
    </row>
    <row r="32" spans="1:3" ht="15" customHeight="1" x14ac:dyDescent="0.2">
      <c r="A32" s="1"/>
      <c r="B32" s="1"/>
      <c r="C32" s="1"/>
    </row>
    <row r="33" spans="1:3" ht="15" customHeight="1" x14ac:dyDescent="0.2">
      <c r="A33" s="1"/>
      <c r="B33" s="1"/>
      <c r="C33" s="1"/>
    </row>
    <row r="34" spans="1:3" ht="15" customHeight="1" x14ac:dyDescent="0.2">
      <c r="A34" s="1"/>
      <c r="B34" s="1"/>
      <c r="C34" s="1"/>
    </row>
    <row r="35" spans="1:3" ht="15" customHeight="1" x14ac:dyDescent="0.2">
      <c r="A35" s="1"/>
      <c r="B35" s="1"/>
      <c r="C35" s="1"/>
    </row>
    <row r="36" spans="1:3" ht="15" customHeight="1" x14ac:dyDescent="0.2">
      <c r="A36" s="1"/>
      <c r="B36" s="1"/>
      <c r="C36" s="1"/>
    </row>
    <row r="37" spans="1:3" ht="15" customHeight="1" x14ac:dyDescent="0.2">
      <c r="A37" s="1"/>
      <c r="B37" s="1"/>
      <c r="C37" s="1"/>
    </row>
    <row r="38" spans="1:3" ht="15" customHeight="1" x14ac:dyDescent="0.2">
      <c r="A38" s="1"/>
      <c r="B38" s="1"/>
      <c r="C38" s="1"/>
    </row>
    <row r="39" spans="1:3" ht="15" customHeight="1" x14ac:dyDescent="0.2">
      <c r="A39" s="1"/>
      <c r="B39" s="1"/>
      <c r="C39" s="1"/>
    </row>
    <row r="40" spans="1:3" ht="15" customHeight="1" x14ac:dyDescent="0.2">
      <c r="A40" s="1"/>
      <c r="B40" s="1"/>
      <c r="C40" s="1"/>
    </row>
    <row r="41" spans="1:3" ht="15" customHeight="1" x14ac:dyDescent="0.2">
      <c r="A41" s="1"/>
      <c r="B41" s="1"/>
      <c r="C41" s="1"/>
    </row>
    <row r="42" spans="1:3" ht="15" customHeight="1" x14ac:dyDescent="0.2">
      <c r="A42" s="1"/>
      <c r="B42" s="1"/>
      <c r="C42" s="1"/>
    </row>
    <row r="43" spans="1:3" ht="15" customHeight="1" x14ac:dyDescent="0.2">
      <c r="A43" s="1"/>
      <c r="B43" s="1"/>
      <c r="C43" s="1"/>
    </row>
    <row r="44" spans="1:3" ht="15" customHeight="1" x14ac:dyDescent="0.2">
      <c r="A44" s="1"/>
      <c r="B44" s="1"/>
      <c r="C44" s="1"/>
    </row>
    <row r="45" spans="1:3" ht="15" customHeight="1" x14ac:dyDescent="0.2">
      <c r="A45" s="1"/>
      <c r="B45" s="1"/>
      <c r="C45" s="1"/>
    </row>
    <row r="46" spans="1:3" ht="15" customHeight="1" x14ac:dyDescent="0.2">
      <c r="A46" s="1"/>
      <c r="B46" s="1"/>
      <c r="C46" s="1"/>
    </row>
    <row r="47" spans="1:3" ht="15.75" customHeight="1" x14ac:dyDescent="0.2">
      <c r="A47" s="2"/>
      <c r="B47" s="2"/>
      <c r="C47" s="2"/>
    </row>
    <row r="48" spans="1:3" ht="15" customHeight="1" x14ac:dyDescent="0.2">
      <c r="A48" s="1"/>
      <c r="B48" s="1"/>
      <c r="C48" s="1"/>
    </row>
    <row r="49" spans="1:3" ht="15" customHeight="1" x14ac:dyDescent="0.2">
      <c r="A49" s="1"/>
      <c r="B49" s="1"/>
      <c r="C49" s="1"/>
    </row>
    <row r="50" spans="1:3" ht="15" customHeight="1" x14ac:dyDescent="0.2">
      <c r="A50" s="1"/>
      <c r="B50" s="1"/>
      <c r="C50" s="1"/>
    </row>
    <row r="51" spans="1:3" ht="15" customHeight="1" x14ac:dyDescent="0.2">
      <c r="A51" s="1"/>
      <c r="B51" s="1"/>
      <c r="C51" s="1"/>
    </row>
    <row r="52" spans="1:3" ht="15" customHeight="1" x14ac:dyDescent="0.2">
      <c r="A52" s="1"/>
      <c r="B52" s="1"/>
      <c r="C52" s="1"/>
    </row>
    <row r="53" spans="1:3" ht="15" customHeight="1" x14ac:dyDescent="0.2">
      <c r="A53" s="1"/>
      <c r="B53" s="1"/>
      <c r="C53" s="1"/>
    </row>
    <row r="54" spans="1:3" ht="15" customHeight="1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7"/>
  <sheetViews>
    <sheetView workbookViewId="0">
      <selection activeCell="B6" sqref="B6"/>
    </sheetView>
  </sheetViews>
  <sheetFormatPr baseColWidth="10" defaultColWidth="10.83203125" defaultRowHeight="16" x14ac:dyDescent="0.2"/>
  <cols>
    <col min="1" max="1" width="17.1640625" customWidth="1"/>
    <col min="2" max="2" width="20.1640625" customWidth="1"/>
    <col min="3" max="3" width="17.5" bestFit="1" customWidth="1"/>
    <col min="10" max="10" width="17.6640625" bestFit="1" customWidth="1"/>
    <col min="11" max="11" width="18" bestFit="1" customWidth="1"/>
  </cols>
  <sheetData>
    <row r="1" spans="1:11" x14ac:dyDescent="0.2">
      <c r="A1" s="6" t="s">
        <v>0</v>
      </c>
      <c r="B1" s="6" t="s">
        <v>1</v>
      </c>
      <c r="C1" s="6" t="s">
        <v>2</v>
      </c>
      <c r="D1" s="4"/>
      <c r="J1" s="5" t="s">
        <v>3</v>
      </c>
      <c r="K1" s="5" t="s">
        <v>4</v>
      </c>
    </row>
    <row r="2" spans="1:11" x14ac:dyDescent="0.2">
      <c r="A2" s="3" t="s">
        <v>5</v>
      </c>
      <c r="B2" s="3" t="s">
        <v>6</v>
      </c>
      <c r="C2" s="3">
        <v>558</v>
      </c>
      <c r="D2" s="1"/>
      <c r="J2">
        <f>SUM(C:C)</f>
        <v>5752.199999999998</v>
      </c>
      <c r="K2">
        <f>4800 - J2</f>
        <v>-952.199999999998</v>
      </c>
    </row>
    <row r="3" spans="1:11" x14ac:dyDescent="0.2">
      <c r="A3" s="3" t="s">
        <v>5</v>
      </c>
      <c r="B3" s="3" t="s">
        <v>7</v>
      </c>
      <c r="C3" s="3">
        <v>200</v>
      </c>
      <c r="D3" s="1"/>
    </row>
    <row r="4" spans="1:11" x14ac:dyDescent="0.2">
      <c r="A4" s="3" t="s">
        <v>5</v>
      </c>
      <c r="B4" s="3" t="s">
        <v>8</v>
      </c>
      <c r="C4" s="3">
        <v>10.81</v>
      </c>
      <c r="D4" s="1"/>
    </row>
    <row r="5" spans="1:11" x14ac:dyDescent="0.2">
      <c r="A5" s="3" t="s">
        <v>9</v>
      </c>
      <c r="B5" s="3" t="s">
        <v>10</v>
      </c>
      <c r="C5" s="3">
        <v>5.4</v>
      </c>
      <c r="D5" s="1"/>
    </row>
    <row r="6" spans="1:11" x14ac:dyDescent="0.2">
      <c r="A6" s="3" t="s">
        <v>9</v>
      </c>
      <c r="B6" s="3" t="s">
        <v>11</v>
      </c>
      <c r="C6" s="3">
        <v>10.81</v>
      </c>
      <c r="D6" s="1"/>
    </row>
    <row r="7" spans="1:11" x14ac:dyDescent="0.2">
      <c r="A7" s="3" t="s">
        <v>9</v>
      </c>
      <c r="B7" s="3" t="s">
        <v>12</v>
      </c>
      <c r="C7" s="3">
        <v>10.81</v>
      </c>
      <c r="D7" s="1"/>
    </row>
    <row r="8" spans="1:11" x14ac:dyDescent="0.2">
      <c r="A8" s="3" t="s">
        <v>9</v>
      </c>
      <c r="B8" s="3" t="s">
        <v>13</v>
      </c>
      <c r="C8" s="3">
        <v>12</v>
      </c>
      <c r="D8" s="1"/>
    </row>
    <row r="9" spans="1:11" x14ac:dyDescent="0.2">
      <c r="A9" s="3" t="s">
        <v>14</v>
      </c>
      <c r="B9" s="3" t="s">
        <v>15</v>
      </c>
      <c r="C9" s="3">
        <v>30</v>
      </c>
      <c r="D9" s="1"/>
    </row>
    <row r="10" spans="1:11" x14ac:dyDescent="0.2">
      <c r="A10" s="3" t="s">
        <v>14</v>
      </c>
      <c r="B10" s="3" t="s">
        <v>16</v>
      </c>
      <c r="C10" s="3">
        <v>19</v>
      </c>
      <c r="D10" s="1"/>
    </row>
    <row r="11" spans="1:11" x14ac:dyDescent="0.2">
      <c r="A11" s="3"/>
      <c r="B11" s="3"/>
      <c r="C11" s="3"/>
    </row>
    <row r="12" spans="1:11" x14ac:dyDescent="0.2">
      <c r="A12" s="3" t="s">
        <v>5</v>
      </c>
      <c r="B12" s="3" t="s">
        <v>18</v>
      </c>
      <c r="C12" s="3">
        <v>1500</v>
      </c>
    </row>
    <row r="13" spans="1:11" x14ac:dyDescent="0.2">
      <c r="A13" s="3" t="s">
        <v>19</v>
      </c>
      <c r="B13" s="3" t="s">
        <v>20</v>
      </c>
      <c r="C13" s="3">
        <v>6.5</v>
      </c>
    </row>
    <row r="14" spans="1:11" x14ac:dyDescent="0.2">
      <c r="A14" s="3" t="s">
        <v>21</v>
      </c>
      <c r="B14" s="3" t="s">
        <v>22</v>
      </c>
      <c r="C14" s="3">
        <v>13.47</v>
      </c>
    </row>
    <row r="15" spans="1:11" x14ac:dyDescent="0.2">
      <c r="A15" s="3" t="s">
        <v>21</v>
      </c>
      <c r="B15" s="3" t="s">
        <v>23</v>
      </c>
      <c r="C15" s="3">
        <v>11.08</v>
      </c>
    </row>
    <row r="16" spans="1:11" x14ac:dyDescent="0.2">
      <c r="A16" s="3" t="s">
        <v>19</v>
      </c>
      <c r="B16" s="3" t="s">
        <v>20</v>
      </c>
      <c r="C16" s="3">
        <v>6.5</v>
      </c>
    </row>
    <row r="17" spans="1:3" x14ac:dyDescent="0.2">
      <c r="A17" s="3" t="s">
        <v>21</v>
      </c>
      <c r="B17" s="3" t="s">
        <v>24</v>
      </c>
      <c r="C17" s="3">
        <v>8</v>
      </c>
    </row>
    <row r="18" spans="1:3" x14ac:dyDescent="0.2">
      <c r="A18" s="3" t="s">
        <v>25</v>
      </c>
      <c r="B18" s="3" t="s">
        <v>26</v>
      </c>
      <c r="C18" s="3">
        <v>54.1</v>
      </c>
    </row>
    <row r="19" spans="1:3" x14ac:dyDescent="0.2">
      <c r="A19" s="3" t="s">
        <v>27</v>
      </c>
      <c r="B19" s="3" t="s">
        <v>26</v>
      </c>
      <c r="C19" s="3">
        <v>12.95</v>
      </c>
    </row>
    <row r="20" spans="1:3" x14ac:dyDescent="0.2">
      <c r="A20" s="3" t="s">
        <v>21</v>
      </c>
      <c r="B20" s="3" t="s">
        <v>23</v>
      </c>
      <c r="C20" s="3">
        <v>7.31</v>
      </c>
    </row>
    <row r="21" spans="1:3" x14ac:dyDescent="0.2">
      <c r="A21" s="3" t="s">
        <v>28</v>
      </c>
      <c r="B21" s="3" t="s">
        <v>29</v>
      </c>
      <c r="C21" s="3">
        <v>3.03</v>
      </c>
    </row>
    <row r="22" spans="1:3" x14ac:dyDescent="0.2">
      <c r="A22" s="3" t="s">
        <v>21</v>
      </c>
      <c r="B22" s="3" t="s">
        <v>30</v>
      </c>
      <c r="C22" s="3">
        <v>23.26</v>
      </c>
    </row>
    <row r="23" spans="1:3" x14ac:dyDescent="0.2">
      <c r="A23" s="3" t="s">
        <v>21</v>
      </c>
      <c r="B23" s="3" t="s">
        <v>24</v>
      </c>
      <c r="C23" s="3">
        <v>10.01</v>
      </c>
    </row>
    <row r="24" spans="1:3" x14ac:dyDescent="0.2">
      <c r="A24" s="3" t="s">
        <v>31</v>
      </c>
      <c r="B24" s="3" t="s">
        <v>32</v>
      </c>
      <c r="C24" s="3">
        <v>63.82</v>
      </c>
    </row>
    <row r="25" spans="1:3" x14ac:dyDescent="0.2">
      <c r="A25" s="3" t="s">
        <v>31</v>
      </c>
      <c r="B25" s="3" t="s">
        <v>32</v>
      </c>
      <c r="C25" s="3">
        <v>28.93</v>
      </c>
    </row>
    <row r="26" spans="1:3" x14ac:dyDescent="0.2">
      <c r="A26" s="3" t="s">
        <v>21</v>
      </c>
      <c r="B26" s="3" t="s">
        <v>22</v>
      </c>
      <c r="C26" s="3">
        <v>47.2</v>
      </c>
    </row>
    <row r="27" spans="1:3" x14ac:dyDescent="0.2">
      <c r="A27" s="3" t="s">
        <v>21</v>
      </c>
      <c r="B27" s="3" t="s">
        <v>33</v>
      </c>
      <c r="C27" s="3">
        <v>10.65</v>
      </c>
    </row>
    <row r="28" spans="1:3" x14ac:dyDescent="0.2">
      <c r="A28" s="3" t="s">
        <v>21</v>
      </c>
      <c r="B28" s="3" t="s">
        <v>34</v>
      </c>
      <c r="C28" s="3">
        <v>39.200000000000003</v>
      </c>
    </row>
    <row r="29" spans="1:3" x14ac:dyDescent="0.2">
      <c r="A29" s="3" t="s">
        <v>21</v>
      </c>
      <c r="B29" s="3" t="s">
        <v>35</v>
      </c>
      <c r="C29" s="3">
        <v>53.29</v>
      </c>
    </row>
    <row r="30" spans="1:3" x14ac:dyDescent="0.2">
      <c r="A30" s="3" t="s">
        <v>31</v>
      </c>
      <c r="B30" s="3" t="s">
        <v>36</v>
      </c>
      <c r="C30" s="3">
        <v>12</v>
      </c>
    </row>
    <row r="31" spans="1:3" x14ac:dyDescent="0.2">
      <c r="A31" s="3" t="s">
        <v>21</v>
      </c>
      <c r="B31" s="3" t="s">
        <v>37</v>
      </c>
      <c r="C31" s="3">
        <v>76.72</v>
      </c>
    </row>
    <row r="32" spans="1:3" x14ac:dyDescent="0.2">
      <c r="A32" s="3" t="s">
        <v>21</v>
      </c>
      <c r="B32" s="3" t="s">
        <v>38</v>
      </c>
      <c r="C32" s="3">
        <v>88.44</v>
      </c>
    </row>
    <row r="33" spans="1:3" x14ac:dyDescent="0.2">
      <c r="A33" s="3" t="s">
        <v>21</v>
      </c>
      <c r="B33" s="3" t="s">
        <v>39</v>
      </c>
      <c r="C33" s="3">
        <v>3.58</v>
      </c>
    </row>
    <row r="34" spans="1:3" x14ac:dyDescent="0.2">
      <c r="A34" s="3" t="s">
        <v>31</v>
      </c>
      <c r="B34" s="3" t="s">
        <v>36</v>
      </c>
      <c r="C34" s="3">
        <v>5</v>
      </c>
    </row>
    <row r="35" spans="1:3" x14ac:dyDescent="0.2">
      <c r="A35" s="3" t="s">
        <v>31</v>
      </c>
      <c r="B35" s="3" t="s">
        <v>36</v>
      </c>
      <c r="C35" s="3">
        <v>5</v>
      </c>
    </row>
    <row r="36" spans="1:3" x14ac:dyDescent="0.2">
      <c r="A36" s="3" t="s">
        <v>21</v>
      </c>
      <c r="B36" s="3" t="s">
        <v>37</v>
      </c>
      <c r="C36" s="3">
        <v>-50</v>
      </c>
    </row>
    <row r="37" spans="1:3" x14ac:dyDescent="0.2">
      <c r="A37" s="3" t="s">
        <v>31</v>
      </c>
      <c r="B37" s="3" t="s">
        <v>32</v>
      </c>
      <c r="C37" s="3">
        <v>24.91</v>
      </c>
    </row>
    <row r="38" spans="1:3" x14ac:dyDescent="0.2">
      <c r="A38" s="3" t="s">
        <v>21</v>
      </c>
      <c r="B38" s="3" t="s">
        <v>40</v>
      </c>
      <c r="C38" s="3">
        <v>99</v>
      </c>
    </row>
    <row r="39" spans="1:3" x14ac:dyDescent="0.2">
      <c r="A39" s="3" t="s">
        <v>31</v>
      </c>
      <c r="B39" s="3" t="s">
        <v>41</v>
      </c>
      <c r="C39" s="3">
        <v>40</v>
      </c>
    </row>
    <row r="40" spans="1:3" x14ac:dyDescent="0.2">
      <c r="A40" s="3" t="s">
        <v>28</v>
      </c>
      <c r="B40" s="3" t="s">
        <v>42</v>
      </c>
      <c r="C40" s="3">
        <v>3.19</v>
      </c>
    </row>
    <row r="41" spans="1:3" x14ac:dyDescent="0.2">
      <c r="A41" s="3" t="s">
        <v>21</v>
      </c>
      <c r="B41" s="3" t="s">
        <v>34</v>
      </c>
      <c r="C41" s="3">
        <v>3.5</v>
      </c>
    </row>
    <row r="42" spans="1:3" x14ac:dyDescent="0.2">
      <c r="A42" s="3" t="s">
        <v>21</v>
      </c>
      <c r="B42" s="3" t="s">
        <v>43</v>
      </c>
      <c r="C42" s="3">
        <v>11.33</v>
      </c>
    </row>
    <row r="43" spans="1:3" x14ac:dyDescent="0.2">
      <c r="A43" s="3" t="s">
        <v>31</v>
      </c>
      <c r="B43" s="3" t="s">
        <v>36</v>
      </c>
      <c r="C43" s="3">
        <v>4</v>
      </c>
    </row>
    <row r="44" spans="1:3" x14ac:dyDescent="0.2">
      <c r="A44" s="3" t="s">
        <v>31</v>
      </c>
      <c r="B44" s="3" t="s">
        <v>32</v>
      </c>
      <c r="C44" s="3">
        <v>14.38</v>
      </c>
    </row>
    <row r="45" spans="1:3" x14ac:dyDescent="0.2">
      <c r="A45" s="3" t="s">
        <v>21</v>
      </c>
      <c r="B45" s="3" t="s">
        <v>23</v>
      </c>
      <c r="C45" s="3">
        <v>19.63</v>
      </c>
    </row>
    <row r="46" spans="1:3" x14ac:dyDescent="0.2">
      <c r="A46" s="3" t="s">
        <v>21</v>
      </c>
      <c r="B46" s="3" t="s">
        <v>23</v>
      </c>
      <c r="C46" s="3">
        <v>5.51</v>
      </c>
    </row>
    <row r="47" spans="1:3" x14ac:dyDescent="0.2">
      <c r="A47" s="3" t="s">
        <v>21</v>
      </c>
      <c r="B47" s="3" t="s">
        <v>44</v>
      </c>
      <c r="C47" s="3">
        <v>10.35</v>
      </c>
    </row>
    <row r="48" spans="1:3" x14ac:dyDescent="0.2">
      <c r="A48" s="3" t="s">
        <v>21</v>
      </c>
      <c r="B48" s="3" t="s">
        <v>24</v>
      </c>
      <c r="C48" s="3">
        <v>5.47</v>
      </c>
    </row>
    <row r="49" spans="1:3" x14ac:dyDescent="0.2">
      <c r="A49" s="3" t="s">
        <v>21</v>
      </c>
      <c r="B49" s="3" t="s">
        <v>45</v>
      </c>
      <c r="C49" s="3">
        <v>10.28</v>
      </c>
    </row>
    <row r="50" spans="1:3" x14ac:dyDescent="0.2">
      <c r="A50" s="3" t="s">
        <v>21</v>
      </c>
      <c r="B50" s="3" t="s">
        <v>24</v>
      </c>
      <c r="C50" s="3">
        <v>5.76</v>
      </c>
    </row>
    <row r="51" spans="1:3" x14ac:dyDescent="0.2">
      <c r="A51" s="3" t="s">
        <v>21</v>
      </c>
      <c r="B51" s="3" t="s">
        <v>46</v>
      </c>
      <c r="C51" s="3">
        <v>8.4</v>
      </c>
    </row>
    <row r="52" spans="1:3" x14ac:dyDescent="0.2">
      <c r="A52" s="3" t="s">
        <v>21</v>
      </c>
      <c r="B52" s="3" t="s">
        <v>24</v>
      </c>
      <c r="C52" s="3">
        <v>10.01</v>
      </c>
    </row>
    <row r="53" spans="1:3" x14ac:dyDescent="0.2">
      <c r="A53" s="3" t="s">
        <v>31</v>
      </c>
      <c r="B53" s="3" t="s">
        <v>47</v>
      </c>
      <c r="C53" s="3">
        <v>33.43</v>
      </c>
    </row>
    <row r="54" spans="1:3" x14ac:dyDescent="0.2">
      <c r="A54" s="3" t="s">
        <v>48</v>
      </c>
      <c r="B54" s="3" t="s">
        <v>49</v>
      </c>
      <c r="C54" s="3">
        <v>50</v>
      </c>
    </row>
    <row r="55" spans="1:3" x14ac:dyDescent="0.2">
      <c r="A55" s="3" t="s">
        <v>21</v>
      </c>
      <c r="B55" s="3" t="s">
        <v>50</v>
      </c>
      <c r="C55" s="3">
        <v>14</v>
      </c>
    </row>
    <row r="56" spans="1:3" x14ac:dyDescent="0.2">
      <c r="A56" s="3" t="s">
        <v>21</v>
      </c>
      <c r="B56" s="3" t="s">
        <v>51</v>
      </c>
      <c r="C56" s="3">
        <v>31.39</v>
      </c>
    </row>
    <row r="57" spans="1:3" x14ac:dyDescent="0.2">
      <c r="A57" s="3" t="s">
        <v>21</v>
      </c>
      <c r="B57" s="3" t="s">
        <v>51</v>
      </c>
      <c r="C57" s="3">
        <v>1.08</v>
      </c>
    </row>
    <row r="58" spans="1:3" x14ac:dyDescent="0.2">
      <c r="A58" s="3" t="s">
        <v>21</v>
      </c>
      <c r="B58" s="3" t="s">
        <v>52</v>
      </c>
      <c r="C58" s="3">
        <v>30.28</v>
      </c>
    </row>
    <row r="59" spans="1:3" x14ac:dyDescent="0.2">
      <c r="A59" s="3" t="s">
        <v>21</v>
      </c>
      <c r="B59" s="3" t="s">
        <v>53</v>
      </c>
      <c r="C59" s="3">
        <v>38.69</v>
      </c>
    </row>
    <row r="60" spans="1:3" x14ac:dyDescent="0.2">
      <c r="A60" s="3" t="s">
        <v>21</v>
      </c>
      <c r="B60" s="3" t="s">
        <v>44</v>
      </c>
      <c r="C60" s="3">
        <v>18.78</v>
      </c>
    </row>
    <row r="61" spans="1:3" x14ac:dyDescent="0.2">
      <c r="A61" s="3" t="s">
        <v>21</v>
      </c>
      <c r="B61" s="3" t="s">
        <v>30</v>
      </c>
      <c r="C61" s="3">
        <v>-10</v>
      </c>
    </row>
    <row r="62" spans="1:3" x14ac:dyDescent="0.2">
      <c r="A62" s="3" t="s">
        <v>25</v>
      </c>
      <c r="B62" s="3" t="s">
        <v>54</v>
      </c>
      <c r="C62" s="3">
        <v>170</v>
      </c>
    </row>
    <row r="63" spans="1:3" x14ac:dyDescent="0.2">
      <c r="A63" s="3" t="s">
        <v>21</v>
      </c>
      <c r="B63" s="3" t="s">
        <v>45</v>
      </c>
      <c r="C63" s="3">
        <v>33.99</v>
      </c>
    </row>
    <row r="64" spans="1:3" x14ac:dyDescent="0.2">
      <c r="A64" s="3" t="s">
        <v>25</v>
      </c>
      <c r="B64" s="3" t="s">
        <v>55</v>
      </c>
      <c r="C64" s="3">
        <v>10.6</v>
      </c>
    </row>
    <row r="65" spans="1:3" x14ac:dyDescent="0.2">
      <c r="A65" s="3" t="s">
        <v>31</v>
      </c>
      <c r="B65" s="3" t="s">
        <v>41</v>
      </c>
      <c r="C65" s="3">
        <v>40</v>
      </c>
    </row>
    <row r="66" spans="1:3" x14ac:dyDescent="0.2">
      <c r="A66" s="3" t="s">
        <v>21</v>
      </c>
      <c r="B66" s="3" t="s">
        <v>23</v>
      </c>
      <c r="C66" s="3">
        <v>11.99</v>
      </c>
    </row>
    <row r="67" spans="1:3" x14ac:dyDescent="0.2">
      <c r="A67" s="3" t="s">
        <v>48</v>
      </c>
      <c r="B67" s="3" t="s">
        <v>56</v>
      </c>
      <c r="C67" s="3">
        <v>21</v>
      </c>
    </row>
    <row r="68" spans="1:3" x14ac:dyDescent="0.2">
      <c r="A68" s="3" t="s">
        <v>48</v>
      </c>
      <c r="B68" s="3" t="s">
        <v>56</v>
      </c>
      <c r="C68" s="3">
        <v>9</v>
      </c>
    </row>
    <row r="69" spans="1:3" x14ac:dyDescent="0.2">
      <c r="A69" s="3" t="s">
        <v>21</v>
      </c>
      <c r="B69" s="3" t="s">
        <v>57</v>
      </c>
      <c r="C69" s="3">
        <v>13</v>
      </c>
    </row>
    <row r="70" spans="1:3" x14ac:dyDescent="0.2">
      <c r="A70" s="3" t="s">
        <v>58</v>
      </c>
      <c r="B70" s="3" t="s">
        <v>59</v>
      </c>
      <c r="C70" s="3">
        <v>49.7</v>
      </c>
    </row>
    <row r="71" spans="1:3" x14ac:dyDescent="0.2">
      <c r="A71" s="3" t="s">
        <v>31</v>
      </c>
      <c r="B71" s="3" t="s">
        <v>47</v>
      </c>
      <c r="C71" s="3">
        <v>31.55</v>
      </c>
    </row>
    <row r="72" spans="1:3" x14ac:dyDescent="0.2">
      <c r="A72" s="3" t="s">
        <v>21</v>
      </c>
      <c r="B72" s="3" t="s">
        <v>60</v>
      </c>
      <c r="C72" s="3">
        <v>12.42</v>
      </c>
    </row>
    <row r="73" spans="1:3" x14ac:dyDescent="0.2">
      <c r="A73" s="3" t="s">
        <v>21</v>
      </c>
      <c r="B73" s="3" t="s">
        <v>60</v>
      </c>
      <c r="C73" s="3">
        <v>11.35</v>
      </c>
    </row>
    <row r="74" spans="1:3" x14ac:dyDescent="0.2">
      <c r="A74" s="3" t="s">
        <v>21</v>
      </c>
      <c r="B74" s="3" t="s">
        <v>60</v>
      </c>
      <c r="C74" s="3">
        <v>-7</v>
      </c>
    </row>
    <row r="75" spans="1:3" x14ac:dyDescent="0.2">
      <c r="A75" s="3" t="s">
        <v>31</v>
      </c>
      <c r="B75" s="3" t="s">
        <v>47</v>
      </c>
      <c r="C75" s="3">
        <v>37.96</v>
      </c>
    </row>
    <row r="76" spans="1:3" x14ac:dyDescent="0.2">
      <c r="A76" s="3" t="s">
        <v>21</v>
      </c>
      <c r="B76" s="3" t="s">
        <v>61</v>
      </c>
      <c r="C76" s="3">
        <v>33</v>
      </c>
    </row>
    <row r="77" spans="1:3" x14ac:dyDescent="0.2">
      <c r="A77" s="3" t="s">
        <v>21</v>
      </c>
      <c r="B77" s="3" t="s">
        <v>62</v>
      </c>
      <c r="C77" s="3">
        <v>15.22</v>
      </c>
    </row>
    <row r="78" spans="1:3" x14ac:dyDescent="0.2">
      <c r="A78" s="3" t="s">
        <v>21</v>
      </c>
      <c r="B78" s="3" t="s">
        <v>62</v>
      </c>
      <c r="C78" s="3">
        <v>17.399999999999999</v>
      </c>
    </row>
    <row r="79" spans="1:3" x14ac:dyDescent="0.2">
      <c r="A79" s="3" t="s">
        <v>21</v>
      </c>
      <c r="B79" s="3" t="s">
        <v>63</v>
      </c>
      <c r="C79" s="3">
        <v>6.3</v>
      </c>
    </row>
    <row r="80" spans="1:3" x14ac:dyDescent="0.2">
      <c r="A80" s="3" t="s">
        <v>31</v>
      </c>
      <c r="B80" s="3" t="s">
        <v>64</v>
      </c>
      <c r="C80" s="3">
        <v>12.25</v>
      </c>
    </row>
    <row r="81" spans="1:3" x14ac:dyDescent="0.2">
      <c r="A81" s="3" t="s">
        <v>31</v>
      </c>
      <c r="B81" s="3" t="s">
        <v>65</v>
      </c>
      <c r="C81" s="3">
        <v>9</v>
      </c>
    </row>
    <row r="82" spans="1:3" x14ac:dyDescent="0.2">
      <c r="A82" s="3" t="s">
        <v>21</v>
      </c>
      <c r="B82" s="3" t="s">
        <v>66</v>
      </c>
      <c r="C82" s="3">
        <v>61</v>
      </c>
    </row>
    <row r="83" spans="1:3" x14ac:dyDescent="0.2">
      <c r="A83" s="3" t="s">
        <v>48</v>
      </c>
      <c r="B83" s="3" t="s">
        <v>67</v>
      </c>
      <c r="C83" s="3">
        <v>151.58000000000001</v>
      </c>
    </row>
    <row r="84" spans="1:3" x14ac:dyDescent="0.2">
      <c r="A84" s="3" t="s">
        <v>21</v>
      </c>
      <c r="B84" s="3" t="s">
        <v>68</v>
      </c>
      <c r="C84" s="3">
        <v>30.51</v>
      </c>
    </row>
    <row r="85" spans="1:3" x14ac:dyDescent="0.2">
      <c r="A85" s="3" t="s">
        <v>48</v>
      </c>
      <c r="B85" s="3" t="s">
        <v>69</v>
      </c>
      <c r="C85" s="3">
        <v>36</v>
      </c>
    </row>
    <row r="86" spans="1:3" x14ac:dyDescent="0.2">
      <c r="A86" s="3" t="s">
        <v>48</v>
      </c>
      <c r="B86" s="3" t="s">
        <v>69</v>
      </c>
      <c r="C86" s="3">
        <v>6</v>
      </c>
    </row>
    <row r="87" spans="1:3" x14ac:dyDescent="0.2">
      <c r="A87" s="3" t="s">
        <v>31</v>
      </c>
      <c r="B87" s="3" t="s">
        <v>64</v>
      </c>
      <c r="C87" s="3">
        <v>16.190000000000001</v>
      </c>
    </row>
    <row r="88" spans="1:3" x14ac:dyDescent="0.2">
      <c r="A88" s="3" t="s">
        <v>21</v>
      </c>
      <c r="B88" s="3" t="s">
        <v>22</v>
      </c>
      <c r="C88" s="3">
        <v>38.85</v>
      </c>
    </row>
    <row r="89" spans="1:3" x14ac:dyDescent="0.2">
      <c r="A89" s="3" t="s">
        <v>21</v>
      </c>
      <c r="B89" s="3" t="s">
        <v>70</v>
      </c>
      <c r="C89" s="3">
        <v>11.45</v>
      </c>
    </row>
    <row r="90" spans="1:3" x14ac:dyDescent="0.2">
      <c r="A90" s="3" t="s">
        <v>21</v>
      </c>
      <c r="B90" s="3" t="s">
        <v>71</v>
      </c>
      <c r="C90" s="3">
        <v>18.48</v>
      </c>
    </row>
    <row r="91" spans="1:3" x14ac:dyDescent="0.2">
      <c r="A91" s="3" t="s">
        <v>21</v>
      </c>
      <c r="B91" s="3" t="s">
        <v>72</v>
      </c>
      <c r="C91" s="3">
        <v>24.96</v>
      </c>
    </row>
    <row r="92" spans="1:3" x14ac:dyDescent="0.2">
      <c r="A92" s="3" t="s">
        <v>73</v>
      </c>
      <c r="B92" s="3" t="s">
        <v>74</v>
      </c>
      <c r="C92" s="3">
        <v>70.36</v>
      </c>
    </row>
    <row r="93" spans="1:3" x14ac:dyDescent="0.2">
      <c r="A93" s="3" t="s">
        <v>21</v>
      </c>
      <c r="B93" s="3" t="s">
        <v>23</v>
      </c>
      <c r="C93" s="3">
        <v>21.73</v>
      </c>
    </row>
    <row r="94" spans="1:3" x14ac:dyDescent="0.2">
      <c r="A94" s="3" t="s">
        <v>21</v>
      </c>
      <c r="B94" s="3" t="s">
        <v>45</v>
      </c>
      <c r="C94" s="3">
        <v>10.93</v>
      </c>
    </row>
    <row r="95" spans="1:3" x14ac:dyDescent="0.2">
      <c r="A95" s="3" t="s">
        <v>25</v>
      </c>
      <c r="B95" s="3" t="s">
        <v>55</v>
      </c>
      <c r="C95" s="3">
        <v>10.6</v>
      </c>
    </row>
    <row r="96" spans="1:3" x14ac:dyDescent="0.2">
      <c r="A96" s="3" t="s">
        <v>31</v>
      </c>
      <c r="B96" s="3" t="s">
        <v>47</v>
      </c>
      <c r="C96" s="3">
        <v>33.950000000000003</v>
      </c>
    </row>
    <row r="97" spans="1:3" x14ac:dyDescent="0.2">
      <c r="A97" s="3" t="s">
        <v>21</v>
      </c>
      <c r="B97" s="3" t="s">
        <v>75</v>
      </c>
      <c r="C97" s="3">
        <v>27.06</v>
      </c>
    </row>
    <row r="98" spans="1:3" x14ac:dyDescent="0.2">
      <c r="A98" s="3" t="s">
        <v>19</v>
      </c>
      <c r="B98" s="3" t="s">
        <v>20</v>
      </c>
      <c r="C98" s="3">
        <v>6.5</v>
      </c>
    </row>
    <row r="99" spans="1:3" x14ac:dyDescent="0.2">
      <c r="A99" s="3" t="s">
        <v>21</v>
      </c>
      <c r="B99" s="3" t="s">
        <v>76</v>
      </c>
      <c r="C99" s="3">
        <v>22.07</v>
      </c>
    </row>
    <row r="100" spans="1:3" x14ac:dyDescent="0.2">
      <c r="A100" s="3" t="s">
        <v>77</v>
      </c>
      <c r="B100" s="3" t="s">
        <v>78</v>
      </c>
      <c r="C100" s="3">
        <v>36.4</v>
      </c>
    </row>
    <row r="101" spans="1:3" x14ac:dyDescent="0.2">
      <c r="A101" s="3" t="s">
        <v>79</v>
      </c>
      <c r="B101" s="3" t="s">
        <v>80</v>
      </c>
      <c r="C101" s="3">
        <v>190</v>
      </c>
    </row>
    <row r="102" spans="1:3" x14ac:dyDescent="0.2">
      <c r="A102" s="3" t="s">
        <v>81</v>
      </c>
      <c r="B102" s="3" t="s">
        <v>82</v>
      </c>
      <c r="C102" s="3">
        <v>33.82</v>
      </c>
    </row>
    <row r="103" spans="1:3" x14ac:dyDescent="0.2">
      <c r="A103" s="3" t="s">
        <v>81</v>
      </c>
      <c r="B103" s="3" t="s">
        <v>82</v>
      </c>
      <c r="C103" s="3">
        <v>23.22</v>
      </c>
    </row>
    <row r="104" spans="1:3" x14ac:dyDescent="0.2">
      <c r="A104" s="3" t="s">
        <v>81</v>
      </c>
      <c r="B104" s="3" t="s">
        <v>82</v>
      </c>
      <c r="C104" s="3">
        <v>21.22</v>
      </c>
    </row>
    <row r="105" spans="1:3" x14ac:dyDescent="0.2">
      <c r="A105" s="3" t="s">
        <v>81</v>
      </c>
      <c r="B105" s="3" t="s">
        <v>83</v>
      </c>
      <c r="C105" s="3">
        <v>57.69</v>
      </c>
    </row>
    <row r="106" spans="1:3" x14ac:dyDescent="0.2">
      <c r="A106" s="3" t="s">
        <v>81</v>
      </c>
      <c r="B106" s="3" t="s">
        <v>83</v>
      </c>
      <c r="C106" s="3">
        <v>31.17</v>
      </c>
    </row>
    <row r="107" spans="1:3" x14ac:dyDescent="0.2">
      <c r="A107" s="3" t="s">
        <v>81</v>
      </c>
      <c r="B107" s="3" t="s">
        <v>83</v>
      </c>
      <c r="C107" s="3">
        <v>25.87</v>
      </c>
    </row>
    <row r="108" spans="1:3" x14ac:dyDescent="0.2">
      <c r="A108" s="3" t="s">
        <v>58</v>
      </c>
      <c r="B108" s="3" t="s">
        <v>84</v>
      </c>
      <c r="C108" s="3">
        <v>19.53</v>
      </c>
    </row>
    <row r="109" spans="1:3" x14ac:dyDescent="0.2">
      <c r="A109" s="3" t="s">
        <v>81</v>
      </c>
      <c r="B109" s="3" t="s">
        <v>85</v>
      </c>
      <c r="C109" s="3">
        <v>62.42</v>
      </c>
    </row>
    <row r="110" spans="1:3" x14ac:dyDescent="0.2">
      <c r="A110" s="3" t="s">
        <v>81</v>
      </c>
      <c r="B110" s="3" t="s">
        <v>86</v>
      </c>
      <c r="C110" s="3">
        <v>58.85</v>
      </c>
    </row>
    <row r="111" spans="1:3" x14ac:dyDescent="0.2">
      <c r="A111" s="3" t="s">
        <v>31</v>
      </c>
      <c r="B111" s="3" t="s">
        <v>87</v>
      </c>
      <c r="C111" s="3">
        <v>4</v>
      </c>
    </row>
    <row r="112" spans="1:3" x14ac:dyDescent="0.2">
      <c r="A112" s="3" t="s">
        <v>48</v>
      </c>
      <c r="B112" s="3" t="s">
        <v>88</v>
      </c>
      <c r="C112" s="3">
        <v>28</v>
      </c>
    </row>
    <row r="113" spans="1:3" x14ac:dyDescent="0.2">
      <c r="A113" s="3" t="s">
        <v>81</v>
      </c>
      <c r="B113" s="3" t="s">
        <v>89</v>
      </c>
      <c r="C113" s="3">
        <v>55.28</v>
      </c>
    </row>
    <row r="114" spans="1:3" x14ac:dyDescent="0.2">
      <c r="A114" s="3" t="s">
        <v>31</v>
      </c>
      <c r="B114" s="3" t="s">
        <v>90</v>
      </c>
      <c r="C114" s="3">
        <v>83.62</v>
      </c>
    </row>
    <row r="115" spans="1:3" x14ac:dyDescent="0.2">
      <c r="A115" s="3" t="s">
        <v>19</v>
      </c>
      <c r="B115" s="3" t="s">
        <v>20</v>
      </c>
      <c r="C115" s="3">
        <v>14.99</v>
      </c>
    </row>
    <row r="116" spans="1:3" x14ac:dyDescent="0.2">
      <c r="A116" s="3" t="s">
        <v>31</v>
      </c>
      <c r="B116" s="3" t="s">
        <v>36</v>
      </c>
      <c r="C116" s="3">
        <v>10</v>
      </c>
    </row>
    <row r="117" spans="1:3" x14ac:dyDescent="0.2">
      <c r="A117" s="3" t="s">
        <v>31</v>
      </c>
      <c r="B117" s="3" t="s">
        <v>36</v>
      </c>
      <c r="C117" s="3">
        <v>4</v>
      </c>
    </row>
    <row r="118" spans="1:3" x14ac:dyDescent="0.2">
      <c r="A118" s="3" t="s">
        <v>31</v>
      </c>
      <c r="B118" s="3" t="s">
        <v>36</v>
      </c>
      <c r="C118" s="3">
        <v>4</v>
      </c>
    </row>
    <row r="119" spans="1:3" x14ac:dyDescent="0.2">
      <c r="A119" s="3" t="s">
        <v>31</v>
      </c>
      <c r="B119" s="3" t="s">
        <v>36</v>
      </c>
      <c r="C119" s="3">
        <v>4</v>
      </c>
    </row>
    <row r="120" spans="1:3" x14ac:dyDescent="0.2">
      <c r="A120" s="3" t="s">
        <v>31</v>
      </c>
      <c r="B120" s="3" t="s">
        <v>36</v>
      </c>
      <c r="C120" s="3">
        <v>4</v>
      </c>
    </row>
    <row r="121" spans="1:3" x14ac:dyDescent="0.2">
      <c r="A121" s="3" t="s">
        <v>48</v>
      </c>
      <c r="B121" s="3" t="s">
        <v>91</v>
      </c>
      <c r="C121" s="3">
        <v>8.4700000000000006</v>
      </c>
    </row>
    <row r="122" spans="1:3" x14ac:dyDescent="0.2">
      <c r="A122" s="3" t="s">
        <v>48</v>
      </c>
      <c r="B122" s="3" t="s">
        <v>92</v>
      </c>
      <c r="C122" s="3">
        <v>91.98</v>
      </c>
    </row>
    <row r="123" spans="1:3" x14ac:dyDescent="0.2">
      <c r="A123" s="3" t="s">
        <v>48</v>
      </c>
      <c r="B123" s="3" t="s">
        <v>49</v>
      </c>
      <c r="C123" s="3">
        <v>20</v>
      </c>
    </row>
    <row r="124" spans="1:3" x14ac:dyDescent="0.2">
      <c r="A124" s="3" t="s">
        <v>19</v>
      </c>
      <c r="B124" s="3" t="s">
        <v>93</v>
      </c>
      <c r="C124" s="3">
        <v>37.89</v>
      </c>
    </row>
    <row r="125" spans="1:3" x14ac:dyDescent="0.2">
      <c r="A125" s="3" t="s">
        <v>19</v>
      </c>
      <c r="B125" s="3" t="s">
        <v>94</v>
      </c>
      <c r="C125" s="3">
        <v>20</v>
      </c>
    </row>
    <row r="126" spans="1:3" x14ac:dyDescent="0.2">
      <c r="A126" s="3" t="s">
        <v>19</v>
      </c>
      <c r="B126" s="3" t="s">
        <v>95</v>
      </c>
      <c r="C126" s="3">
        <v>6.48</v>
      </c>
    </row>
    <row r="127" spans="1:3" x14ac:dyDescent="0.2">
      <c r="A127" s="3" t="s">
        <v>21</v>
      </c>
      <c r="B127" s="3" t="s">
        <v>24</v>
      </c>
      <c r="C127" s="3">
        <v>5.47</v>
      </c>
    </row>
    <row r="128" spans="1:3" x14ac:dyDescent="0.2">
      <c r="A128" s="3" t="s">
        <v>19</v>
      </c>
      <c r="B128" s="3" t="s">
        <v>95</v>
      </c>
      <c r="C128" s="3">
        <v>7.5</v>
      </c>
    </row>
    <row r="129" spans="1:3" x14ac:dyDescent="0.2">
      <c r="A129" t="s">
        <v>73</v>
      </c>
      <c r="B129" t="s">
        <v>96</v>
      </c>
      <c r="C129">
        <v>127</v>
      </c>
    </row>
    <row r="130" spans="1:3" x14ac:dyDescent="0.2">
      <c r="A130" t="s">
        <v>21</v>
      </c>
      <c r="B130" t="s">
        <v>24</v>
      </c>
      <c r="C130">
        <v>7.74</v>
      </c>
    </row>
    <row r="131" spans="1:3" x14ac:dyDescent="0.2">
      <c r="A131" t="s">
        <v>21</v>
      </c>
      <c r="B131" t="s">
        <v>44</v>
      </c>
      <c r="C131">
        <v>11.18</v>
      </c>
    </row>
    <row r="132" spans="1:3" x14ac:dyDescent="0.2">
      <c r="A132" t="s">
        <v>31</v>
      </c>
      <c r="B132" t="s">
        <v>41</v>
      </c>
      <c r="C132">
        <v>40</v>
      </c>
    </row>
    <row r="133" spans="1:3" x14ac:dyDescent="0.2">
      <c r="A133" t="s">
        <v>31</v>
      </c>
      <c r="B133" t="s">
        <v>47</v>
      </c>
      <c r="C133">
        <v>43.19</v>
      </c>
    </row>
    <row r="134" spans="1:3" x14ac:dyDescent="0.2">
      <c r="A134" t="s">
        <v>28</v>
      </c>
      <c r="B134" t="s">
        <v>97</v>
      </c>
      <c r="C134">
        <v>5.95</v>
      </c>
    </row>
    <row r="135" spans="1:3" x14ac:dyDescent="0.2">
      <c r="A135" t="s">
        <v>21</v>
      </c>
      <c r="B135" t="s">
        <v>98</v>
      </c>
      <c r="C135">
        <v>12</v>
      </c>
    </row>
    <row r="136" spans="1:3" x14ac:dyDescent="0.2">
      <c r="A136" t="s">
        <v>21</v>
      </c>
      <c r="B136" t="s">
        <v>23</v>
      </c>
      <c r="C136">
        <v>11.08</v>
      </c>
    </row>
    <row r="137" spans="1:3" x14ac:dyDescent="0.2">
      <c r="A137" t="s">
        <v>19</v>
      </c>
      <c r="B137" t="s">
        <v>95</v>
      </c>
      <c r="C13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8"/>
  <sheetViews>
    <sheetView topLeftCell="A5" workbookViewId="0">
      <selection activeCell="B6" sqref="B6"/>
    </sheetView>
  </sheetViews>
  <sheetFormatPr baseColWidth="10" defaultColWidth="10.83203125" defaultRowHeight="16" x14ac:dyDescent="0.2"/>
  <cols>
    <col min="1" max="1" width="12.83203125" bestFit="1" customWidth="1"/>
    <col min="2" max="2" width="23" customWidth="1"/>
    <col min="3" max="3" width="17.5" bestFit="1" customWidth="1"/>
    <col min="10" max="10" width="17.6640625" bestFit="1" customWidth="1"/>
    <col min="11" max="11" width="18" bestFit="1" customWidth="1"/>
  </cols>
  <sheetData>
    <row r="1" spans="1:11" ht="15" customHeight="1" x14ac:dyDescent="0.2">
      <c r="A1" s="4" t="s">
        <v>0</v>
      </c>
      <c r="B1" s="4" t="s">
        <v>1</v>
      </c>
      <c r="C1" s="4" t="s">
        <v>2</v>
      </c>
      <c r="D1" s="4"/>
      <c r="J1" s="5" t="s">
        <v>3</v>
      </c>
      <c r="K1" s="5" t="s">
        <v>4</v>
      </c>
    </row>
    <row r="2" spans="1:11" ht="15" customHeight="1" x14ac:dyDescent="0.2">
      <c r="A2" s="1" t="s">
        <v>5</v>
      </c>
      <c r="B2" s="1" t="s">
        <v>6</v>
      </c>
      <c r="C2" s="1">
        <v>558</v>
      </c>
      <c r="D2" s="1"/>
      <c r="J2">
        <f>SUM(C:C)</f>
        <v>3511.1100000000006</v>
      </c>
      <c r="K2">
        <f>4800 - J2</f>
        <v>1288.8899999999994</v>
      </c>
    </row>
    <row r="3" spans="1:11" ht="15" customHeight="1" x14ac:dyDescent="0.2">
      <c r="A3" s="1" t="s">
        <v>5</v>
      </c>
      <c r="B3" s="1" t="s">
        <v>7</v>
      </c>
      <c r="C3" s="1">
        <v>200</v>
      </c>
      <c r="D3" s="1"/>
    </row>
    <row r="4" spans="1:11" ht="15" customHeight="1" x14ac:dyDescent="0.2">
      <c r="A4" s="1" t="s">
        <v>5</v>
      </c>
      <c r="B4" s="1" t="s">
        <v>8</v>
      </c>
      <c r="C4" s="1">
        <v>11</v>
      </c>
      <c r="D4" s="1"/>
    </row>
    <row r="5" spans="1:11" ht="15" customHeight="1" x14ac:dyDescent="0.2">
      <c r="A5" s="1" t="s">
        <v>9</v>
      </c>
      <c r="B5" s="1" t="s">
        <v>10</v>
      </c>
      <c r="C5" s="1">
        <v>5.4</v>
      </c>
      <c r="D5" s="1"/>
    </row>
    <row r="6" spans="1:11" ht="15" customHeight="1" x14ac:dyDescent="0.2">
      <c r="A6" s="1" t="s">
        <v>9</v>
      </c>
      <c r="B6" s="1" t="s">
        <v>11</v>
      </c>
      <c r="C6" s="1">
        <v>10.81</v>
      </c>
      <c r="D6" s="1"/>
    </row>
    <row r="7" spans="1:11" ht="15" customHeight="1" x14ac:dyDescent="0.2">
      <c r="A7" s="1" t="s">
        <v>9</v>
      </c>
      <c r="B7" s="1" t="s">
        <v>12</v>
      </c>
      <c r="C7" s="1">
        <v>10.81</v>
      </c>
      <c r="D7" s="1"/>
    </row>
    <row r="8" spans="1:11" ht="15" customHeight="1" x14ac:dyDescent="0.2">
      <c r="A8" s="1" t="s">
        <v>9</v>
      </c>
      <c r="B8" s="1" t="s">
        <v>13</v>
      </c>
      <c r="C8" s="1">
        <v>12</v>
      </c>
      <c r="D8" s="1"/>
    </row>
    <row r="9" spans="1:11" ht="15" customHeight="1" x14ac:dyDescent="0.2">
      <c r="A9" s="1" t="s">
        <v>14</v>
      </c>
      <c r="B9" s="1" t="s">
        <v>15</v>
      </c>
      <c r="C9" s="1">
        <v>30</v>
      </c>
      <c r="D9" s="1"/>
    </row>
    <row r="10" spans="1:11" ht="15" customHeight="1" x14ac:dyDescent="0.2">
      <c r="A10" s="1" t="s">
        <v>14</v>
      </c>
      <c r="B10" s="1" t="s">
        <v>16</v>
      </c>
      <c r="C10" s="1">
        <v>19</v>
      </c>
      <c r="D10" s="1"/>
    </row>
    <row r="11" spans="1:11" ht="15" customHeight="1" x14ac:dyDescent="0.2">
      <c r="A11" s="1"/>
      <c r="B11" s="1"/>
      <c r="C11" s="1"/>
    </row>
    <row r="12" spans="1:11" ht="15" customHeight="1" x14ac:dyDescent="0.2">
      <c r="A12" s="1" t="s">
        <v>19</v>
      </c>
      <c r="B12" s="1" t="s">
        <v>99</v>
      </c>
      <c r="C12" s="1">
        <v>27.05</v>
      </c>
    </row>
    <row r="13" spans="1:11" ht="15" customHeight="1" x14ac:dyDescent="0.2">
      <c r="A13" s="1" t="s">
        <v>21</v>
      </c>
      <c r="B13" s="1" t="s">
        <v>45</v>
      </c>
      <c r="C13" s="1">
        <v>12.18</v>
      </c>
    </row>
    <row r="14" spans="1:11" ht="15" customHeight="1" x14ac:dyDescent="0.2">
      <c r="A14" s="1" t="s">
        <v>21</v>
      </c>
      <c r="B14" s="1" t="s">
        <v>100</v>
      </c>
      <c r="C14" s="1">
        <v>13</v>
      </c>
    </row>
    <row r="15" spans="1:11" ht="15" customHeight="1" x14ac:dyDescent="0.2">
      <c r="A15" s="1" t="s">
        <v>21</v>
      </c>
      <c r="B15" s="1" t="s">
        <v>24</v>
      </c>
      <c r="C15" s="1">
        <v>5.76</v>
      </c>
    </row>
    <row r="16" spans="1:11" ht="15" customHeight="1" x14ac:dyDescent="0.2">
      <c r="A16" s="1" t="s">
        <v>21</v>
      </c>
      <c r="B16" s="1" t="s">
        <v>101</v>
      </c>
      <c r="C16" s="1">
        <v>4.54</v>
      </c>
    </row>
    <row r="17" spans="1:3" ht="15" customHeight="1" x14ac:dyDescent="0.2">
      <c r="A17" s="1" t="s">
        <v>73</v>
      </c>
      <c r="B17" s="1" t="s">
        <v>102</v>
      </c>
      <c r="C17" s="1">
        <v>50</v>
      </c>
    </row>
    <row r="18" spans="1:3" ht="15" customHeight="1" x14ac:dyDescent="0.2">
      <c r="A18" s="1" t="s">
        <v>21</v>
      </c>
      <c r="B18" s="1" t="s">
        <v>103</v>
      </c>
      <c r="C18" s="1">
        <v>15.6</v>
      </c>
    </row>
    <row r="19" spans="1:3" ht="15" customHeight="1" x14ac:dyDescent="0.2">
      <c r="A19" s="1" t="s">
        <v>21</v>
      </c>
      <c r="B19" s="1" t="s">
        <v>104</v>
      </c>
      <c r="C19" s="1">
        <v>9.44</v>
      </c>
    </row>
    <row r="20" spans="1:3" ht="15" customHeight="1" x14ac:dyDescent="0.2">
      <c r="A20" s="1" t="s">
        <v>105</v>
      </c>
      <c r="B20" s="1" t="s">
        <v>47</v>
      </c>
      <c r="C20" s="1">
        <v>24.93</v>
      </c>
    </row>
    <row r="21" spans="1:3" ht="15" customHeight="1" x14ac:dyDescent="0.2">
      <c r="A21" s="1" t="s">
        <v>48</v>
      </c>
      <c r="B21" s="1" t="s">
        <v>106</v>
      </c>
      <c r="C21" s="1">
        <v>120</v>
      </c>
    </row>
    <row r="22" spans="1:3" ht="15" customHeight="1" x14ac:dyDescent="0.2">
      <c r="A22" s="1" t="s">
        <v>21</v>
      </c>
      <c r="B22" s="1" t="s">
        <v>24</v>
      </c>
      <c r="C22" s="1">
        <v>10.01</v>
      </c>
    </row>
    <row r="23" spans="1:3" ht="15" customHeight="1" x14ac:dyDescent="0.2">
      <c r="A23" s="1" t="s">
        <v>19</v>
      </c>
      <c r="B23" s="1" t="s">
        <v>20</v>
      </c>
      <c r="C23" s="1">
        <v>6.5</v>
      </c>
    </row>
    <row r="24" spans="1:3" ht="15" customHeight="1" x14ac:dyDescent="0.2">
      <c r="A24" s="1" t="s">
        <v>21</v>
      </c>
      <c r="B24" s="1" t="s">
        <v>107</v>
      </c>
      <c r="C24" s="1">
        <v>15.31</v>
      </c>
    </row>
    <row r="25" spans="1:3" ht="15" customHeight="1" x14ac:dyDescent="0.2">
      <c r="A25" s="1" t="s">
        <v>105</v>
      </c>
      <c r="B25" s="1" t="s">
        <v>47</v>
      </c>
      <c r="C25" s="1">
        <v>41.46</v>
      </c>
    </row>
    <row r="26" spans="1:3" ht="15" customHeight="1" x14ac:dyDescent="0.2">
      <c r="A26" s="1" t="s">
        <v>21</v>
      </c>
      <c r="B26" s="1" t="s">
        <v>23</v>
      </c>
      <c r="C26" s="1">
        <v>11.41</v>
      </c>
    </row>
    <row r="27" spans="1:3" ht="15" customHeight="1" x14ac:dyDescent="0.2">
      <c r="A27" s="1" t="s">
        <v>77</v>
      </c>
      <c r="B27" s="1" t="s">
        <v>108</v>
      </c>
      <c r="C27" s="1">
        <v>58.82</v>
      </c>
    </row>
    <row r="28" spans="1:3" ht="15" customHeight="1" x14ac:dyDescent="0.2">
      <c r="A28" s="1" t="s">
        <v>21</v>
      </c>
      <c r="B28" s="1" t="s">
        <v>109</v>
      </c>
      <c r="C28" s="1">
        <v>66</v>
      </c>
    </row>
    <row r="29" spans="1:3" ht="15" customHeight="1" x14ac:dyDescent="0.2">
      <c r="A29" s="1" t="s">
        <v>73</v>
      </c>
      <c r="B29" s="1" t="s">
        <v>110</v>
      </c>
      <c r="C29" s="1">
        <v>3.25</v>
      </c>
    </row>
    <row r="30" spans="1:3" ht="15" customHeight="1" x14ac:dyDescent="0.2">
      <c r="A30" s="1" t="s">
        <v>73</v>
      </c>
      <c r="B30" s="1" t="s">
        <v>110</v>
      </c>
      <c r="C30" s="1">
        <v>25</v>
      </c>
    </row>
    <row r="31" spans="1:3" ht="15.75" customHeight="1" x14ac:dyDescent="0.2">
      <c r="A31" s="1" t="s">
        <v>73</v>
      </c>
      <c r="B31" s="1" t="s">
        <v>111</v>
      </c>
      <c r="C31" s="7">
        <v>145.65</v>
      </c>
    </row>
    <row r="32" spans="1:3" ht="15" customHeight="1" x14ac:dyDescent="0.2">
      <c r="A32" s="1" t="s">
        <v>105</v>
      </c>
      <c r="B32" s="1" t="s">
        <v>41</v>
      </c>
      <c r="C32" s="1">
        <v>40</v>
      </c>
    </row>
    <row r="33" spans="1:3" ht="15" customHeight="1" x14ac:dyDescent="0.2">
      <c r="A33" s="1" t="s">
        <v>21</v>
      </c>
      <c r="B33" s="1" t="s">
        <v>112</v>
      </c>
      <c r="C33" s="1">
        <v>40.6</v>
      </c>
    </row>
    <row r="34" spans="1:3" ht="15" customHeight="1" x14ac:dyDescent="0.2">
      <c r="A34" s="1" t="s">
        <v>73</v>
      </c>
      <c r="B34" s="1" t="s">
        <v>113</v>
      </c>
      <c r="C34" s="1">
        <v>21.64</v>
      </c>
    </row>
    <row r="35" spans="1:3" ht="15" customHeight="1" x14ac:dyDescent="0.2">
      <c r="A35" s="1" t="s">
        <v>105</v>
      </c>
      <c r="B35" s="1" t="s">
        <v>47</v>
      </c>
      <c r="C35" s="1">
        <v>34.9</v>
      </c>
    </row>
    <row r="36" spans="1:3" ht="15" customHeight="1" x14ac:dyDescent="0.2">
      <c r="A36" s="1" t="s">
        <v>114</v>
      </c>
      <c r="B36" s="1" t="s">
        <v>115</v>
      </c>
      <c r="C36" s="1">
        <v>695</v>
      </c>
    </row>
    <row r="37" spans="1:3" ht="15" customHeight="1" x14ac:dyDescent="0.2">
      <c r="A37" s="1" t="s">
        <v>21</v>
      </c>
      <c r="B37" s="1" t="s">
        <v>44</v>
      </c>
      <c r="C37" s="1">
        <v>2.7</v>
      </c>
    </row>
    <row r="38" spans="1:3" ht="15" customHeight="1" x14ac:dyDescent="0.2">
      <c r="A38" s="1" t="s">
        <v>19</v>
      </c>
      <c r="B38" s="1" t="s">
        <v>95</v>
      </c>
      <c r="C38" s="1">
        <v>11.89</v>
      </c>
    </row>
    <row r="39" spans="1:3" ht="15" customHeight="1" x14ac:dyDescent="0.2">
      <c r="A39" s="1" t="s">
        <v>5</v>
      </c>
      <c r="B39" s="1" t="s">
        <v>116</v>
      </c>
      <c r="C39" s="1">
        <v>3.09</v>
      </c>
    </row>
    <row r="40" spans="1:3" ht="15" customHeight="1" x14ac:dyDescent="0.2">
      <c r="A40" s="1" t="s">
        <v>19</v>
      </c>
      <c r="B40" s="1" t="s">
        <v>95</v>
      </c>
      <c r="C40" s="1">
        <v>23.8</v>
      </c>
    </row>
    <row r="41" spans="1:3" ht="15" customHeight="1" x14ac:dyDescent="0.2">
      <c r="A41" s="1" t="s">
        <v>19</v>
      </c>
      <c r="B41" s="1" t="s">
        <v>95</v>
      </c>
      <c r="C41" s="1">
        <v>23.8</v>
      </c>
    </row>
    <row r="42" spans="1:3" ht="15" customHeight="1" x14ac:dyDescent="0.2">
      <c r="A42" s="1" t="s">
        <v>9</v>
      </c>
      <c r="B42" s="1" t="s">
        <v>117</v>
      </c>
      <c r="C42" s="1">
        <v>819.04</v>
      </c>
    </row>
    <row r="43" spans="1:3" ht="15" customHeight="1" x14ac:dyDescent="0.2">
      <c r="A43" s="1" t="s">
        <v>58</v>
      </c>
      <c r="B43" s="1" t="s">
        <v>84</v>
      </c>
      <c r="C43" s="1">
        <v>84.69</v>
      </c>
    </row>
    <row r="44" spans="1:3" ht="15" customHeight="1" x14ac:dyDescent="0.2">
      <c r="A44" s="1" t="s">
        <v>21</v>
      </c>
      <c r="B44" s="1" t="s">
        <v>23</v>
      </c>
      <c r="C44" s="1">
        <v>11.08</v>
      </c>
    </row>
    <row r="45" spans="1:3" ht="15" customHeight="1" x14ac:dyDescent="0.2">
      <c r="A45" s="1" t="s">
        <v>105</v>
      </c>
      <c r="B45" s="1" t="s">
        <v>41</v>
      </c>
      <c r="C45" s="1">
        <v>40</v>
      </c>
    </row>
    <row r="46" spans="1:3" ht="15" customHeight="1" x14ac:dyDescent="0.2">
      <c r="A46" s="1" t="s">
        <v>21</v>
      </c>
      <c r="B46" s="1" t="s">
        <v>24</v>
      </c>
      <c r="C46" s="1">
        <v>10.01</v>
      </c>
    </row>
    <row r="47" spans="1:3" ht="15.75" customHeight="1" x14ac:dyDescent="0.2">
      <c r="A47" s="1" t="s">
        <v>21</v>
      </c>
      <c r="B47" s="7" t="s">
        <v>22</v>
      </c>
      <c r="C47" s="7">
        <v>4.5</v>
      </c>
    </row>
    <row r="48" spans="1:3" ht="15" customHeight="1" x14ac:dyDescent="0.2">
      <c r="A48" s="1" t="s">
        <v>21</v>
      </c>
      <c r="B48" s="1" t="s">
        <v>23</v>
      </c>
      <c r="C48" s="1">
        <v>5.51</v>
      </c>
    </row>
    <row r="49" spans="1:3" ht="15" customHeight="1" x14ac:dyDescent="0.2">
      <c r="A49" s="1" t="s">
        <v>21</v>
      </c>
      <c r="B49" s="1" t="s">
        <v>23</v>
      </c>
      <c r="C49" s="1">
        <v>8.93</v>
      </c>
    </row>
    <row r="50" spans="1:3" ht="15" customHeight="1" x14ac:dyDescent="0.2">
      <c r="A50" s="1" t="s">
        <v>21</v>
      </c>
      <c r="B50" s="1" t="s">
        <v>44</v>
      </c>
      <c r="C50" s="1">
        <v>7.01</v>
      </c>
    </row>
    <row r="51" spans="1:3" ht="15" customHeight="1" x14ac:dyDescent="0.2">
      <c r="A51" s="1" t="s">
        <v>25</v>
      </c>
      <c r="B51" s="1" t="s">
        <v>118</v>
      </c>
      <c r="C51" s="1">
        <v>32.46</v>
      </c>
    </row>
    <row r="52" spans="1:3" ht="15" customHeight="1" x14ac:dyDescent="0.2">
      <c r="A52" s="1" t="s">
        <v>19</v>
      </c>
      <c r="B52" s="1" t="s">
        <v>20</v>
      </c>
      <c r="C52" s="1">
        <v>14.99</v>
      </c>
    </row>
    <row r="53" spans="1:3" ht="15" customHeight="1" x14ac:dyDescent="0.2">
      <c r="A53" s="1" t="s">
        <v>21</v>
      </c>
      <c r="B53" s="1" t="s">
        <v>45</v>
      </c>
      <c r="C53" s="1">
        <v>9.69</v>
      </c>
    </row>
    <row r="54" spans="1:3" ht="15" customHeight="1" x14ac:dyDescent="0.2">
      <c r="A54" s="1" t="s">
        <v>21</v>
      </c>
      <c r="B54" s="1" t="s">
        <v>44</v>
      </c>
      <c r="C54" s="1">
        <v>7.2</v>
      </c>
    </row>
    <row r="55" spans="1:3" ht="15" x14ac:dyDescent="0.2">
      <c r="A55" s="1" t="s">
        <v>21</v>
      </c>
      <c r="B55" s="1" t="s">
        <v>39</v>
      </c>
      <c r="C55" s="1">
        <v>10</v>
      </c>
    </row>
    <row r="56" spans="1:3" ht="15" x14ac:dyDescent="0.2">
      <c r="A56" s="1" t="s">
        <v>21</v>
      </c>
      <c r="B56" s="1" t="s">
        <v>44</v>
      </c>
      <c r="C56" s="1">
        <v>2.15</v>
      </c>
    </row>
    <row r="57" spans="1:3" ht="15" x14ac:dyDescent="0.2">
      <c r="A57" s="1" t="s">
        <v>21</v>
      </c>
      <c r="B57" s="1" t="s">
        <v>23</v>
      </c>
      <c r="C57" s="1">
        <v>5.51</v>
      </c>
    </row>
    <row r="58" spans="1:3" ht="15" x14ac:dyDescent="0.2">
      <c r="A58" s="1" t="s">
        <v>21</v>
      </c>
      <c r="B58" s="1" t="s">
        <v>101</v>
      </c>
      <c r="C58" s="1">
        <v>7.98</v>
      </c>
    </row>
    <row r="59" spans="1:3" x14ac:dyDescent="0.2">
      <c r="A59" s="1" t="s">
        <v>21</v>
      </c>
      <c r="B59" s="1" t="s">
        <v>24</v>
      </c>
      <c r="C59" s="1">
        <v>10.01</v>
      </c>
    </row>
    <row r="60" spans="1:3" ht="15" customHeight="1" x14ac:dyDescent="0.2">
      <c r="A60" s="3"/>
      <c r="B60" s="3"/>
      <c r="C60" s="3"/>
    </row>
    <row r="61" spans="1:3" ht="15" customHeight="1" x14ac:dyDescent="0.2">
      <c r="A61" s="3"/>
      <c r="B61" s="3"/>
      <c r="C61" s="3"/>
    </row>
    <row r="62" spans="1:3" ht="15" customHeight="1" x14ac:dyDescent="0.2">
      <c r="A62" s="3"/>
      <c r="B62" s="3"/>
      <c r="C62" s="3"/>
    </row>
    <row r="63" spans="1:3" ht="15" customHeight="1" x14ac:dyDescent="0.2">
      <c r="A63" s="3"/>
      <c r="B63" s="3"/>
      <c r="C63" s="3"/>
    </row>
    <row r="64" spans="1:3" ht="15" customHeight="1" x14ac:dyDescent="0.2">
      <c r="A64" s="3"/>
      <c r="B64" s="3"/>
      <c r="C64" s="3"/>
    </row>
    <row r="65" spans="1:3" ht="15" customHeight="1" x14ac:dyDescent="0.2">
      <c r="A65" s="3"/>
      <c r="B65" s="3"/>
      <c r="C65" s="3"/>
    </row>
    <row r="66" spans="1:3" ht="15" customHeight="1" x14ac:dyDescent="0.2">
      <c r="A66" s="3"/>
      <c r="B66" s="3"/>
      <c r="C66" s="3"/>
    </row>
    <row r="67" spans="1:3" ht="15" customHeight="1" x14ac:dyDescent="0.2">
      <c r="A67" s="3"/>
      <c r="B67" s="3"/>
      <c r="C67" s="3"/>
    </row>
    <row r="68" spans="1:3" ht="15" customHeight="1" x14ac:dyDescent="0.2">
      <c r="A68" s="3"/>
      <c r="B68" s="3"/>
      <c r="C68" s="3"/>
    </row>
    <row r="69" spans="1:3" ht="15" customHeight="1" x14ac:dyDescent="0.2">
      <c r="A69" s="3"/>
      <c r="B69" s="3"/>
      <c r="C69" s="3"/>
    </row>
    <row r="70" spans="1:3" ht="15" customHeight="1" x14ac:dyDescent="0.2">
      <c r="A70" s="3"/>
      <c r="B70" s="3"/>
      <c r="C70" s="3"/>
    </row>
    <row r="71" spans="1:3" ht="15" customHeight="1" x14ac:dyDescent="0.2">
      <c r="A71" s="3"/>
      <c r="B71" s="3"/>
      <c r="C71" s="3"/>
    </row>
    <row r="72" spans="1:3" ht="15" customHeight="1" x14ac:dyDescent="0.2">
      <c r="A72" s="3"/>
      <c r="B72" s="3"/>
      <c r="C72" s="3"/>
    </row>
    <row r="73" spans="1:3" ht="15" customHeight="1" x14ac:dyDescent="0.2">
      <c r="A73" s="3"/>
      <c r="B73" s="3"/>
      <c r="C73" s="3"/>
    </row>
    <row r="74" spans="1:3" ht="15" customHeight="1" x14ac:dyDescent="0.2">
      <c r="A74" s="3"/>
      <c r="B74" s="3"/>
      <c r="C74" s="3"/>
    </row>
    <row r="75" spans="1:3" ht="15" customHeight="1" x14ac:dyDescent="0.2">
      <c r="A75" s="3"/>
      <c r="B75" s="3"/>
      <c r="C75" s="3"/>
    </row>
    <row r="76" spans="1:3" ht="15" customHeight="1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8"/>
  <sheetViews>
    <sheetView workbookViewId="0">
      <selection activeCell="B6" sqref="B6"/>
    </sheetView>
  </sheetViews>
  <sheetFormatPr baseColWidth="10" defaultColWidth="10.83203125" defaultRowHeight="16" x14ac:dyDescent="0.2"/>
  <cols>
    <col min="1" max="1" width="12.83203125" bestFit="1" customWidth="1"/>
    <col min="2" max="2" width="23" customWidth="1"/>
    <col min="3" max="3" width="17.5" bestFit="1" customWidth="1"/>
    <col min="10" max="10" width="17.6640625" bestFit="1" customWidth="1"/>
    <col min="11" max="11" width="18" bestFit="1" customWidth="1"/>
  </cols>
  <sheetData>
    <row r="1" spans="1:11" ht="15" customHeight="1" x14ac:dyDescent="0.2">
      <c r="A1" s="4" t="s">
        <v>0</v>
      </c>
      <c r="B1" s="4" t="s">
        <v>1</v>
      </c>
      <c r="C1" s="4" t="s">
        <v>2</v>
      </c>
      <c r="D1" s="4"/>
      <c r="J1" s="5" t="s">
        <v>3</v>
      </c>
      <c r="K1" s="5" t="s">
        <v>4</v>
      </c>
    </row>
    <row r="2" spans="1:11" ht="15" customHeight="1" x14ac:dyDescent="0.2">
      <c r="A2" s="1" t="s">
        <v>5</v>
      </c>
      <c r="B2" s="1" t="s">
        <v>6</v>
      </c>
      <c r="C2" s="1">
        <v>558</v>
      </c>
      <c r="D2" s="1"/>
      <c r="J2">
        <f>SUM(C:C)</f>
        <v>857.01999999999987</v>
      </c>
      <c r="K2">
        <f>4800 - J2</f>
        <v>3942.98</v>
      </c>
    </row>
    <row r="3" spans="1:11" ht="15" customHeight="1" x14ac:dyDescent="0.2">
      <c r="A3" s="1" t="s">
        <v>5</v>
      </c>
      <c r="B3" s="1" t="s">
        <v>7</v>
      </c>
      <c r="C3" s="1">
        <v>200</v>
      </c>
      <c r="D3" s="1"/>
    </row>
    <row r="4" spans="1:11" ht="15" customHeight="1" x14ac:dyDescent="0.2">
      <c r="A4" s="1" t="s">
        <v>5</v>
      </c>
      <c r="B4" s="1" t="s">
        <v>8</v>
      </c>
      <c r="C4" s="1">
        <v>11</v>
      </c>
      <c r="D4" s="1"/>
    </row>
    <row r="5" spans="1:11" ht="15" customHeight="1" x14ac:dyDescent="0.2">
      <c r="A5" s="1" t="s">
        <v>9</v>
      </c>
      <c r="B5" s="1" t="s">
        <v>10</v>
      </c>
      <c r="C5" s="1">
        <v>5.4</v>
      </c>
      <c r="D5" s="1"/>
    </row>
    <row r="6" spans="1:11" ht="15" customHeight="1" x14ac:dyDescent="0.2">
      <c r="A6" s="1" t="s">
        <v>9</v>
      </c>
      <c r="B6" s="1" t="s">
        <v>11</v>
      </c>
      <c r="C6" s="1">
        <v>10.81</v>
      </c>
      <c r="D6" s="1"/>
    </row>
    <row r="7" spans="1:11" ht="15" customHeight="1" x14ac:dyDescent="0.2">
      <c r="A7" s="1" t="s">
        <v>9</v>
      </c>
      <c r="B7" s="1" t="s">
        <v>12</v>
      </c>
      <c r="C7" s="1">
        <v>10.81</v>
      </c>
      <c r="D7" s="1"/>
    </row>
    <row r="8" spans="1:11" ht="15" customHeight="1" x14ac:dyDescent="0.2">
      <c r="A8" s="1" t="s">
        <v>9</v>
      </c>
      <c r="B8" s="1" t="s">
        <v>13</v>
      </c>
      <c r="C8" s="1">
        <v>12</v>
      </c>
      <c r="D8" s="1"/>
    </row>
    <row r="9" spans="1:11" ht="15" customHeight="1" x14ac:dyDescent="0.2">
      <c r="A9" s="1" t="s">
        <v>14</v>
      </c>
      <c r="B9" s="1" t="s">
        <v>15</v>
      </c>
      <c r="C9" s="1">
        <v>30</v>
      </c>
      <c r="D9" s="1"/>
    </row>
    <row r="10" spans="1:11" ht="15" customHeight="1" x14ac:dyDescent="0.2">
      <c r="A10" s="1" t="s">
        <v>14</v>
      </c>
      <c r="B10" s="1" t="s">
        <v>16</v>
      </c>
      <c r="C10" s="1">
        <v>19</v>
      </c>
      <c r="D10" s="1"/>
    </row>
    <row r="11" spans="1:11" ht="15" customHeight="1" x14ac:dyDescent="0.2">
      <c r="A11" s="1"/>
      <c r="B11" s="1"/>
      <c r="C11" s="1"/>
    </row>
    <row r="12" spans="1:11" ht="15" customHeight="1" x14ac:dyDescent="0.2">
      <c r="A12" s="1"/>
      <c r="B12" s="1"/>
      <c r="C12" s="1"/>
    </row>
    <row r="13" spans="1:11" ht="15" customHeight="1" x14ac:dyDescent="0.2">
      <c r="A13" s="1"/>
      <c r="B13" s="1"/>
      <c r="C13" s="1"/>
    </row>
    <row r="14" spans="1:11" ht="15" customHeight="1" x14ac:dyDescent="0.2">
      <c r="A14" s="1"/>
      <c r="B14" s="1"/>
      <c r="C14" s="1"/>
    </row>
    <row r="15" spans="1:11" ht="15" customHeight="1" x14ac:dyDescent="0.2">
      <c r="A15" s="1"/>
      <c r="B15" s="1"/>
      <c r="C15" s="1"/>
    </row>
    <row r="16" spans="1:11" ht="15" customHeight="1" x14ac:dyDescent="0.2">
      <c r="A16" s="1"/>
      <c r="B16" s="1"/>
      <c r="C16" s="1"/>
    </row>
    <row r="17" spans="1:3" ht="15" customHeight="1" x14ac:dyDescent="0.2">
      <c r="A17" s="1"/>
      <c r="B17" s="1"/>
      <c r="C17" s="1"/>
    </row>
    <row r="18" spans="1:3" ht="15" customHeight="1" x14ac:dyDescent="0.2">
      <c r="A18" s="1"/>
      <c r="B18" s="1"/>
      <c r="C18" s="1"/>
    </row>
    <row r="19" spans="1:3" ht="15" customHeight="1" x14ac:dyDescent="0.2">
      <c r="A19" s="1"/>
      <c r="B19" s="1"/>
      <c r="C19" s="1"/>
    </row>
    <row r="20" spans="1:3" ht="15" customHeight="1" x14ac:dyDescent="0.2">
      <c r="A20" s="1"/>
      <c r="B20" s="1"/>
      <c r="C20" s="1"/>
    </row>
    <row r="21" spans="1:3" ht="15" customHeight="1" x14ac:dyDescent="0.2">
      <c r="A21" s="1"/>
      <c r="B21" s="1"/>
      <c r="C21" s="1"/>
    </row>
    <row r="22" spans="1:3" ht="15" customHeight="1" x14ac:dyDescent="0.2">
      <c r="A22" s="1"/>
      <c r="B22" s="1"/>
      <c r="C22" s="1"/>
    </row>
    <row r="23" spans="1:3" ht="15" customHeight="1" x14ac:dyDescent="0.2">
      <c r="A23" s="1"/>
      <c r="B23" s="1"/>
      <c r="C23" s="1"/>
    </row>
    <row r="24" spans="1:3" ht="15" customHeight="1" x14ac:dyDescent="0.2">
      <c r="A24" s="1"/>
      <c r="B24" s="1"/>
      <c r="C24" s="1"/>
    </row>
    <row r="25" spans="1:3" ht="15" customHeight="1" x14ac:dyDescent="0.2">
      <c r="A25" s="1"/>
      <c r="B25" s="1"/>
      <c r="C25" s="1"/>
    </row>
    <row r="26" spans="1:3" ht="15" customHeight="1" x14ac:dyDescent="0.2">
      <c r="A26" s="1"/>
      <c r="B26" s="1"/>
      <c r="C26" s="1"/>
    </row>
    <row r="27" spans="1:3" ht="15" customHeight="1" x14ac:dyDescent="0.2">
      <c r="A27" s="1"/>
      <c r="B27" s="1"/>
      <c r="C27" s="1"/>
    </row>
    <row r="28" spans="1:3" ht="15" customHeight="1" x14ac:dyDescent="0.2">
      <c r="A28" s="1"/>
      <c r="B28" s="1"/>
      <c r="C28" s="1"/>
    </row>
    <row r="29" spans="1:3" ht="15" customHeight="1" x14ac:dyDescent="0.2">
      <c r="A29" s="1"/>
      <c r="B29" s="1"/>
      <c r="C29" s="1"/>
    </row>
    <row r="30" spans="1:3" ht="15" customHeight="1" x14ac:dyDescent="0.2">
      <c r="A30" s="1"/>
      <c r="B30" s="1"/>
      <c r="C30" s="1"/>
    </row>
    <row r="31" spans="1:3" ht="15.75" customHeight="1" x14ac:dyDescent="0.2">
      <c r="A31" s="1"/>
      <c r="B31" s="1"/>
      <c r="C31" s="2"/>
    </row>
    <row r="32" spans="1:3" ht="15" customHeight="1" x14ac:dyDescent="0.2">
      <c r="A32" s="1"/>
      <c r="B32" s="1"/>
      <c r="C32" s="1"/>
    </row>
    <row r="33" spans="1:3" ht="15" customHeight="1" x14ac:dyDescent="0.2">
      <c r="A33" s="1"/>
      <c r="B33" s="1"/>
      <c r="C33" s="1"/>
    </row>
    <row r="34" spans="1:3" ht="15" customHeight="1" x14ac:dyDescent="0.2">
      <c r="A34" s="1"/>
      <c r="B34" s="1"/>
      <c r="C34" s="1"/>
    </row>
    <row r="35" spans="1:3" ht="15" customHeight="1" x14ac:dyDescent="0.2">
      <c r="A35" s="1"/>
      <c r="B35" s="1"/>
      <c r="C35" s="1"/>
    </row>
    <row r="36" spans="1:3" ht="15" customHeight="1" x14ac:dyDescent="0.2">
      <c r="A36" s="1"/>
      <c r="B36" s="1"/>
      <c r="C36" s="1"/>
    </row>
    <row r="37" spans="1:3" ht="15" customHeight="1" x14ac:dyDescent="0.2">
      <c r="A37" s="1"/>
      <c r="B37" s="1"/>
      <c r="C37" s="1"/>
    </row>
    <row r="38" spans="1:3" ht="15" customHeight="1" x14ac:dyDescent="0.2">
      <c r="A38" s="1"/>
      <c r="B38" s="1"/>
      <c r="C38" s="1"/>
    </row>
    <row r="39" spans="1:3" ht="15" customHeight="1" x14ac:dyDescent="0.2">
      <c r="A39" s="1"/>
      <c r="B39" s="1"/>
      <c r="C39" s="1"/>
    </row>
    <row r="40" spans="1:3" ht="15" customHeight="1" x14ac:dyDescent="0.2">
      <c r="A40" s="1"/>
      <c r="B40" s="1"/>
      <c r="C40" s="1"/>
    </row>
    <row r="41" spans="1:3" ht="15" customHeight="1" x14ac:dyDescent="0.2">
      <c r="A41" s="1"/>
      <c r="B41" s="1"/>
      <c r="C41" s="1"/>
    </row>
    <row r="42" spans="1:3" ht="15" customHeight="1" x14ac:dyDescent="0.2">
      <c r="A42" s="1"/>
      <c r="B42" s="1"/>
      <c r="C42" s="1"/>
    </row>
    <row r="43" spans="1:3" ht="15" customHeight="1" x14ac:dyDescent="0.2">
      <c r="A43" s="1"/>
      <c r="B43" s="1"/>
      <c r="C43" s="1"/>
    </row>
    <row r="44" spans="1:3" ht="15" customHeight="1" x14ac:dyDescent="0.2">
      <c r="A44" s="1"/>
      <c r="B44" s="1"/>
      <c r="C44" s="1"/>
    </row>
    <row r="45" spans="1:3" ht="15" customHeight="1" x14ac:dyDescent="0.2">
      <c r="A45" s="1"/>
      <c r="B45" s="1"/>
      <c r="C45" s="1"/>
    </row>
    <row r="46" spans="1:3" ht="15" customHeight="1" x14ac:dyDescent="0.2">
      <c r="A46" s="1"/>
      <c r="B46" s="1"/>
      <c r="C46" s="1"/>
    </row>
    <row r="47" spans="1:3" ht="15.75" customHeight="1" x14ac:dyDescent="0.2">
      <c r="A47" s="2"/>
      <c r="B47" s="2"/>
      <c r="C47" s="2"/>
    </row>
    <row r="48" spans="1:3" ht="15" customHeight="1" x14ac:dyDescent="0.2">
      <c r="A48" s="1"/>
      <c r="B48" s="1"/>
      <c r="C48" s="1"/>
    </row>
    <row r="49" spans="1:3" ht="15" customHeight="1" x14ac:dyDescent="0.2">
      <c r="A49" s="1"/>
      <c r="B49" s="1"/>
      <c r="C49" s="1"/>
    </row>
    <row r="50" spans="1:3" ht="15" customHeight="1" x14ac:dyDescent="0.2">
      <c r="A50" s="1"/>
      <c r="B50" s="1"/>
      <c r="C50" s="1"/>
    </row>
    <row r="51" spans="1:3" ht="15" customHeight="1" x14ac:dyDescent="0.2">
      <c r="A51" s="1"/>
      <c r="B51" s="1"/>
      <c r="C51" s="1"/>
    </row>
    <row r="52" spans="1:3" ht="15" customHeight="1" x14ac:dyDescent="0.2">
      <c r="A52" s="1"/>
      <c r="B52" s="1"/>
      <c r="C52" s="1"/>
    </row>
    <row r="53" spans="1:3" ht="15" customHeight="1" x14ac:dyDescent="0.2">
      <c r="A53" s="1"/>
      <c r="B53" s="1"/>
      <c r="C53" s="1"/>
    </row>
    <row r="54" spans="1:3" ht="15" customHeight="1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8"/>
  <sheetViews>
    <sheetView tabSelected="1" topLeftCell="A13" workbookViewId="0">
      <selection activeCell="F34" sqref="F34"/>
    </sheetView>
  </sheetViews>
  <sheetFormatPr baseColWidth="10" defaultColWidth="10.83203125" defaultRowHeight="16" x14ac:dyDescent="0.2"/>
  <cols>
    <col min="1" max="1" width="12.83203125" bestFit="1" customWidth="1"/>
    <col min="2" max="2" width="23" customWidth="1"/>
    <col min="3" max="3" width="17.5" bestFit="1" customWidth="1"/>
    <col min="10" max="10" width="17.6640625" bestFit="1" customWidth="1"/>
    <col min="11" max="11" width="18" bestFit="1" customWidth="1"/>
  </cols>
  <sheetData>
    <row r="1" spans="1:11" ht="15" customHeight="1" x14ac:dyDescent="0.2">
      <c r="A1" s="4" t="s">
        <v>0</v>
      </c>
      <c r="B1" s="4" t="s">
        <v>1</v>
      </c>
      <c r="C1" s="4" t="s">
        <v>2</v>
      </c>
      <c r="D1" s="4"/>
      <c r="J1" s="5" t="s">
        <v>3</v>
      </c>
      <c r="K1" s="5" t="s">
        <v>4</v>
      </c>
    </row>
    <row r="2" spans="1:11" ht="15" customHeight="1" x14ac:dyDescent="0.2">
      <c r="A2" s="1" t="s">
        <v>5</v>
      </c>
      <c r="B2" s="1" t="s">
        <v>6</v>
      </c>
      <c r="C2" s="1">
        <v>558</v>
      </c>
      <c r="D2" s="1"/>
      <c r="J2">
        <f>SUM(C:C)</f>
        <v>1977.5099999999998</v>
      </c>
      <c r="K2">
        <f>4800 - J2</f>
        <v>2822.4900000000002</v>
      </c>
    </row>
    <row r="3" spans="1:11" ht="15" customHeight="1" x14ac:dyDescent="0.2">
      <c r="A3" s="1" t="s">
        <v>5</v>
      </c>
      <c r="B3" s="1" t="s">
        <v>7</v>
      </c>
      <c r="C3" s="1">
        <v>200</v>
      </c>
      <c r="D3" s="1"/>
    </row>
    <row r="4" spans="1:11" ht="15" customHeight="1" x14ac:dyDescent="0.2">
      <c r="A4" s="1" t="s">
        <v>5</v>
      </c>
      <c r="B4" s="1" t="s">
        <v>8</v>
      </c>
      <c r="C4" s="1">
        <v>11</v>
      </c>
      <c r="D4" s="1"/>
    </row>
    <row r="5" spans="1:11" ht="15" customHeight="1" x14ac:dyDescent="0.2">
      <c r="A5" s="1" t="s">
        <v>9</v>
      </c>
      <c r="B5" s="1" t="s">
        <v>10</v>
      </c>
      <c r="C5" s="1">
        <v>5.4</v>
      </c>
      <c r="D5" s="1"/>
    </row>
    <row r="6" spans="1:11" ht="15" customHeight="1" x14ac:dyDescent="0.2">
      <c r="A6" s="1" t="s">
        <v>9</v>
      </c>
      <c r="B6" s="1" t="s">
        <v>119</v>
      </c>
      <c r="C6" s="1">
        <v>10.81</v>
      </c>
      <c r="D6" s="1"/>
    </row>
    <row r="7" spans="1:11" ht="15" customHeight="1" x14ac:dyDescent="0.2">
      <c r="A7" s="1" t="s">
        <v>9</v>
      </c>
      <c r="B7" s="1" t="s">
        <v>12</v>
      </c>
      <c r="C7" s="1">
        <v>10.81</v>
      </c>
      <c r="D7" s="1"/>
    </row>
    <row r="8" spans="1:11" ht="15" customHeight="1" x14ac:dyDescent="0.2">
      <c r="A8" s="1" t="s">
        <v>9</v>
      </c>
      <c r="B8" s="1" t="s">
        <v>13</v>
      </c>
      <c r="C8" s="1">
        <v>12</v>
      </c>
      <c r="D8" s="1"/>
    </row>
    <row r="9" spans="1:11" ht="15" customHeight="1" x14ac:dyDescent="0.2">
      <c r="A9" s="1" t="s">
        <v>14</v>
      </c>
      <c r="B9" s="1" t="s">
        <v>15</v>
      </c>
      <c r="C9" s="1">
        <v>30</v>
      </c>
      <c r="D9" s="1"/>
    </row>
    <row r="10" spans="1:11" ht="15" customHeight="1" x14ac:dyDescent="0.2">
      <c r="A10" s="1" t="s">
        <v>14</v>
      </c>
      <c r="B10" s="1" t="s">
        <v>16</v>
      </c>
      <c r="C10" s="1">
        <v>19</v>
      </c>
      <c r="D10" s="1"/>
    </row>
    <row r="11" spans="1:11" ht="15" customHeight="1" x14ac:dyDescent="0.2">
      <c r="A11" s="1" t="s">
        <v>9</v>
      </c>
      <c r="B11" s="1" t="s">
        <v>17</v>
      </c>
      <c r="C11" s="1">
        <v>8.11</v>
      </c>
    </row>
    <row r="12" spans="1:11" ht="15" customHeight="1" x14ac:dyDescent="0.2">
      <c r="A12" s="1" t="s">
        <v>21</v>
      </c>
      <c r="B12" s="1" t="s">
        <v>120</v>
      </c>
      <c r="C12" s="1">
        <v>10.79</v>
      </c>
    </row>
    <row r="13" spans="1:11" ht="15" customHeight="1" x14ac:dyDescent="0.2">
      <c r="A13" s="1" t="s">
        <v>58</v>
      </c>
      <c r="B13" s="1" t="s">
        <v>84</v>
      </c>
      <c r="C13" s="1">
        <v>160.79</v>
      </c>
    </row>
    <row r="14" spans="1:11" ht="15" customHeight="1" x14ac:dyDescent="0.2">
      <c r="A14" s="1" t="s">
        <v>25</v>
      </c>
      <c r="B14" s="1" t="s">
        <v>121</v>
      </c>
      <c r="C14" s="1">
        <v>28</v>
      </c>
    </row>
    <row r="15" spans="1:11" ht="15" customHeight="1" x14ac:dyDescent="0.2">
      <c r="A15" s="1" t="s">
        <v>25</v>
      </c>
      <c r="B15" s="1" t="s">
        <v>122</v>
      </c>
      <c r="C15" s="1">
        <v>5.94</v>
      </c>
    </row>
    <row r="16" spans="1:11" ht="15" customHeight="1" x14ac:dyDescent="0.2">
      <c r="A16" s="1" t="s">
        <v>31</v>
      </c>
      <c r="B16" s="1" t="s">
        <v>41</v>
      </c>
      <c r="C16" s="1">
        <v>40</v>
      </c>
    </row>
    <row r="17" spans="1:3" ht="15" customHeight="1" x14ac:dyDescent="0.2">
      <c r="A17" s="1" t="s">
        <v>48</v>
      </c>
      <c r="B17" s="1" t="s">
        <v>123</v>
      </c>
      <c r="C17" s="1">
        <v>108</v>
      </c>
    </row>
    <row r="18" spans="1:3" ht="15" customHeight="1" x14ac:dyDescent="0.2">
      <c r="A18" s="1" t="s">
        <v>48</v>
      </c>
      <c r="B18" s="1" t="s">
        <v>124</v>
      </c>
      <c r="C18" s="1">
        <v>24</v>
      </c>
    </row>
    <row r="19" spans="1:3" ht="15" customHeight="1" x14ac:dyDescent="0.2">
      <c r="A19" s="1" t="s">
        <v>84</v>
      </c>
      <c r="B19" s="1" t="s">
        <v>58</v>
      </c>
      <c r="C19" s="1">
        <v>38.619999999999997</v>
      </c>
    </row>
    <row r="20" spans="1:3" ht="15" customHeight="1" x14ac:dyDescent="0.2">
      <c r="A20" s="1" t="s">
        <v>21</v>
      </c>
      <c r="B20" s="1" t="s">
        <v>23</v>
      </c>
      <c r="C20" s="1">
        <v>7.13</v>
      </c>
    </row>
    <row r="21" spans="1:3" ht="15" customHeight="1" x14ac:dyDescent="0.2">
      <c r="A21" s="1" t="s">
        <v>81</v>
      </c>
      <c r="B21" s="1" t="s">
        <v>125</v>
      </c>
      <c r="C21" s="1">
        <v>25</v>
      </c>
    </row>
    <row r="22" spans="1:3" ht="15" customHeight="1" x14ac:dyDescent="0.2">
      <c r="A22" s="1" t="s">
        <v>58</v>
      </c>
      <c r="B22" s="1" t="s">
        <v>84</v>
      </c>
      <c r="C22" s="1">
        <v>13.74</v>
      </c>
    </row>
    <row r="23" spans="1:3" ht="15" customHeight="1" x14ac:dyDescent="0.2">
      <c r="A23" s="1" t="s">
        <v>31</v>
      </c>
      <c r="B23" s="1" t="s">
        <v>126</v>
      </c>
      <c r="C23" s="1">
        <v>5.35</v>
      </c>
    </row>
    <row r="24" spans="1:3" ht="15" customHeight="1" x14ac:dyDescent="0.2">
      <c r="A24" s="1" t="s">
        <v>25</v>
      </c>
      <c r="B24" s="1" t="s">
        <v>121</v>
      </c>
      <c r="C24" s="1">
        <v>28</v>
      </c>
    </row>
    <row r="25" spans="1:3" ht="15" customHeight="1" x14ac:dyDescent="0.2">
      <c r="A25" s="1" t="s">
        <v>25</v>
      </c>
      <c r="B25" s="1" t="s">
        <v>127</v>
      </c>
      <c r="C25" s="1">
        <v>5.94</v>
      </c>
    </row>
    <row r="26" spans="1:3" ht="15" customHeight="1" x14ac:dyDescent="0.2">
      <c r="A26" s="1" t="s">
        <v>58</v>
      </c>
      <c r="B26" s="1" t="s">
        <v>84</v>
      </c>
      <c r="C26" s="1">
        <v>20.72</v>
      </c>
    </row>
    <row r="27" spans="1:3" ht="15" customHeight="1" x14ac:dyDescent="0.2">
      <c r="A27" s="1" t="s">
        <v>128</v>
      </c>
      <c r="B27" s="1" t="s">
        <v>129</v>
      </c>
      <c r="C27" s="1">
        <v>10</v>
      </c>
    </row>
    <row r="28" spans="1:3" ht="15" customHeight="1" x14ac:dyDescent="0.2">
      <c r="A28" s="1" t="s">
        <v>25</v>
      </c>
      <c r="B28" s="1" t="s">
        <v>130</v>
      </c>
      <c r="C28" s="1">
        <v>9.73</v>
      </c>
    </row>
    <row r="29" spans="1:3" ht="15" customHeight="1" x14ac:dyDescent="0.2">
      <c r="A29" s="1" t="s">
        <v>19</v>
      </c>
      <c r="B29" s="1" t="s">
        <v>93</v>
      </c>
      <c r="C29" s="1">
        <v>10.81</v>
      </c>
    </row>
    <row r="30" spans="1:3" ht="15" customHeight="1" x14ac:dyDescent="0.2">
      <c r="A30" s="1" t="s">
        <v>31</v>
      </c>
      <c r="B30" s="1" t="s">
        <v>41</v>
      </c>
      <c r="C30" s="1">
        <v>40</v>
      </c>
    </row>
    <row r="31" spans="1:3" ht="15.75" customHeight="1" x14ac:dyDescent="0.2">
      <c r="A31" s="1" t="s">
        <v>48</v>
      </c>
      <c r="B31" s="1" t="s">
        <v>131</v>
      </c>
      <c r="C31" s="1">
        <v>31.52</v>
      </c>
    </row>
    <row r="32" spans="1:3" ht="15" customHeight="1" x14ac:dyDescent="0.2">
      <c r="A32" s="1" t="s">
        <v>21</v>
      </c>
      <c r="B32" s="1" t="s">
        <v>132</v>
      </c>
      <c r="C32" s="1">
        <v>18.86</v>
      </c>
    </row>
    <row r="33" spans="1:3" ht="15" customHeight="1" x14ac:dyDescent="0.2">
      <c r="A33" s="1" t="s">
        <v>21</v>
      </c>
      <c r="B33" s="1" t="s">
        <v>133</v>
      </c>
      <c r="C33" s="1">
        <v>2.5099999999999998</v>
      </c>
    </row>
    <row r="34" spans="1:3" ht="15" customHeight="1" x14ac:dyDescent="0.2">
      <c r="A34" s="1" t="s">
        <v>58</v>
      </c>
      <c r="B34" s="1" t="s">
        <v>84</v>
      </c>
      <c r="C34" s="1">
        <v>39.93</v>
      </c>
    </row>
    <row r="35" spans="1:3" ht="15" customHeight="1" x14ac:dyDescent="0.2">
      <c r="A35" s="1" t="s">
        <v>134</v>
      </c>
      <c r="B35" s="1" t="s">
        <v>135</v>
      </c>
      <c r="C35" s="1">
        <v>55.24</v>
      </c>
    </row>
    <row r="36" spans="1:3" ht="15" customHeight="1" x14ac:dyDescent="0.2">
      <c r="A36" s="1" t="s">
        <v>19</v>
      </c>
      <c r="B36" s="1" t="s">
        <v>93</v>
      </c>
      <c r="C36" s="1">
        <v>21.64</v>
      </c>
    </row>
    <row r="37" spans="1:3" ht="15" customHeight="1" x14ac:dyDescent="0.2">
      <c r="A37" s="1" t="s">
        <v>28</v>
      </c>
      <c r="B37" s="1" t="s">
        <v>136</v>
      </c>
      <c r="C37" s="1">
        <v>8.2899999999999991</v>
      </c>
    </row>
    <row r="38" spans="1:3" ht="15" customHeight="1" x14ac:dyDescent="0.2">
      <c r="A38" s="1" t="s">
        <v>31</v>
      </c>
      <c r="B38" s="1" t="s">
        <v>27</v>
      </c>
      <c r="C38" s="1">
        <v>26.98</v>
      </c>
    </row>
    <row r="39" spans="1:3" ht="15" customHeight="1" x14ac:dyDescent="0.2">
      <c r="A39" s="1" t="s">
        <v>58</v>
      </c>
      <c r="B39" s="1" t="s">
        <v>84</v>
      </c>
      <c r="C39" s="1">
        <v>70.92</v>
      </c>
    </row>
    <row r="40" spans="1:3" ht="15" customHeight="1" x14ac:dyDescent="0.2">
      <c r="A40" s="1" t="s">
        <v>77</v>
      </c>
      <c r="B40" s="1" t="s">
        <v>108</v>
      </c>
      <c r="C40" s="1">
        <v>60.37</v>
      </c>
    </row>
    <row r="41" spans="1:3" ht="15" customHeight="1" x14ac:dyDescent="0.2">
      <c r="A41" s="1" t="s">
        <v>21</v>
      </c>
      <c r="B41" s="1" t="s">
        <v>138</v>
      </c>
      <c r="C41" s="1">
        <v>25</v>
      </c>
    </row>
    <row r="42" spans="1:3" ht="15" customHeight="1" x14ac:dyDescent="0.2">
      <c r="A42" s="1" t="s">
        <v>19</v>
      </c>
      <c r="B42" s="1" t="s">
        <v>139</v>
      </c>
      <c r="C42" s="1">
        <v>4.54</v>
      </c>
    </row>
    <row r="43" spans="1:3" ht="15" customHeight="1" x14ac:dyDescent="0.2">
      <c r="A43" s="1" t="s">
        <v>31</v>
      </c>
      <c r="B43" s="1" t="s">
        <v>41</v>
      </c>
      <c r="C43" s="1">
        <v>40</v>
      </c>
    </row>
    <row r="44" spans="1:3" ht="15" customHeight="1" x14ac:dyDescent="0.2">
      <c r="A44" s="1" t="s">
        <v>21</v>
      </c>
      <c r="B44" s="1" t="s">
        <v>30</v>
      </c>
      <c r="C44" s="1">
        <v>13.55</v>
      </c>
    </row>
    <row r="45" spans="1:3" ht="15" customHeight="1" x14ac:dyDescent="0.2">
      <c r="A45" s="1" t="s">
        <v>21</v>
      </c>
      <c r="B45" s="1" t="s">
        <v>140</v>
      </c>
      <c r="C45" s="1">
        <v>14.93</v>
      </c>
    </row>
    <row r="46" spans="1:3" ht="15" customHeight="1" x14ac:dyDescent="0.2">
      <c r="A46" s="1" t="s">
        <v>21</v>
      </c>
      <c r="B46" s="1" t="s">
        <v>23</v>
      </c>
      <c r="C46" s="1">
        <v>7.31</v>
      </c>
    </row>
    <row r="47" spans="1:3" ht="15.75" customHeight="1" x14ac:dyDescent="0.2">
      <c r="A47" s="1" t="s">
        <v>21</v>
      </c>
      <c r="B47" s="1" t="s">
        <v>141</v>
      </c>
      <c r="C47" s="1">
        <v>11.73</v>
      </c>
    </row>
    <row r="48" spans="1:3" ht="15" customHeight="1" x14ac:dyDescent="0.2">
      <c r="A48" s="1" t="s">
        <v>21</v>
      </c>
      <c r="B48" s="1" t="s">
        <v>142</v>
      </c>
      <c r="C48" s="1">
        <v>18.989999999999998</v>
      </c>
    </row>
    <row r="49" spans="1:3" ht="15" customHeight="1" x14ac:dyDescent="0.2">
      <c r="A49" s="1" t="s">
        <v>21</v>
      </c>
      <c r="B49" s="1" t="s">
        <v>45</v>
      </c>
      <c r="C49" s="1">
        <v>12.18</v>
      </c>
    </row>
    <row r="50" spans="1:3" ht="15" customHeight="1" x14ac:dyDescent="0.2">
      <c r="A50" s="1" t="s">
        <v>5</v>
      </c>
      <c r="B50" s="1" t="s">
        <v>116</v>
      </c>
      <c r="C50" s="1">
        <v>3.96</v>
      </c>
    </row>
    <row r="51" spans="1:3" ht="15" customHeight="1" x14ac:dyDescent="0.2">
      <c r="A51" s="1" t="s">
        <v>19</v>
      </c>
      <c r="B51" s="1" t="s">
        <v>95</v>
      </c>
      <c r="C51" s="1">
        <v>23.8</v>
      </c>
    </row>
    <row r="52" spans="1:3" ht="15" customHeight="1" x14ac:dyDescent="0.2">
      <c r="A52" s="1" t="s">
        <v>19</v>
      </c>
      <c r="B52" s="1" t="s">
        <v>95</v>
      </c>
      <c r="C52" s="1">
        <v>7.57</v>
      </c>
    </row>
    <row r="53" spans="1:3" ht="15" customHeight="1" x14ac:dyDescent="0.2">
      <c r="A53" s="1"/>
      <c r="B53" s="1"/>
      <c r="C53" s="1"/>
    </row>
    <row r="54" spans="1:3" ht="15" customHeight="1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8"/>
  <sheetViews>
    <sheetView workbookViewId="0">
      <selection activeCell="D18" sqref="D18"/>
    </sheetView>
  </sheetViews>
  <sheetFormatPr baseColWidth="10" defaultColWidth="10.83203125" defaultRowHeight="16" x14ac:dyDescent="0.2"/>
  <cols>
    <col min="1" max="1" width="12.83203125" bestFit="1" customWidth="1"/>
    <col min="2" max="2" width="23" customWidth="1"/>
    <col min="3" max="3" width="17.5" bestFit="1" customWidth="1"/>
    <col min="10" max="10" width="17.6640625" bestFit="1" customWidth="1"/>
    <col min="11" max="11" width="18" bestFit="1" customWidth="1"/>
  </cols>
  <sheetData>
    <row r="1" spans="1:11" ht="15" customHeight="1" x14ac:dyDescent="0.2">
      <c r="A1" s="4" t="s">
        <v>0</v>
      </c>
      <c r="B1" s="4" t="s">
        <v>1</v>
      </c>
      <c r="C1" s="4" t="s">
        <v>2</v>
      </c>
      <c r="D1" s="4"/>
      <c r="J1" s="5" t="s">
        <v>3</v>
      </c>
      <c r="K1" s="5" t="s">
        <v>4</v>
      </c>
    </row>
    <row r="2" spans="1:11" ht="15" customHeight="1" x14ac:dyDescent="0.2">
      <c r="A2" s="1" t="s">
        <v>5</v>
      </c>
      <c r="B2" s="1" t="s">
        <v>6</v>
      </c>
      <c r="C2" s="1">
        <v>558</v>
      </c>
      <c r="D2" s="1"/>
      <c r="J2">
        <f>SUM(C:C)</f>
        <v>933.61999999999989</v>
      </c>
      <c r="K2">
        <f>4800 - J2</f>
        <v>3866.38</v>
      </c>
    </row>
    <row r="3" spans="1:11" ht="15" customHeight="1" x14ac:dyDescent="0.2">
      <c r="A3" s="1" t="s">
        <v>5</v>
      </c>
      <c r="B3" s="1" t="s">
        <v>7</v>
      </c>
      <c r="C3" s="1">
        <v>200</v>
      </c>
      <c r="D3" s="1"/>
    </row>
    <row r="4" spans="1:11" ht="15" customHeight="1" x14ac:dyDescent="0.2">
      <c r="A4" s="1" t="s">
        <v>5</v>
      </c>
      <c r="B4" s="1" t="s">
        <v>8</v>
      </c>
      <c r="C4" s="1">
        <v>11</v>
      </c>
      <c r="D4" s="1"/>
    </row>
    <row r="5" spans="1:11" ht="15" customHeight="1" x14ac:dyDescent="0.2">
      <c r="A5" s="1" t="s">
        <v>9</v>
      </c>
      <c r="B5" s="1" t="s">
        <v>10</v>
      </c>
      <c r="C5" s="1">
        <v>5.4</v>
      </c>
      <c r="D5" s="1"/>
    </row>
    <row r="6" spans="1:11" ht="15" customHeight="1" x14ac:dyDescent="0.2">
      <c r="A6" s="1" t="s">
        <v>9</v>
      </c>
      <c r="B6" s="1" t="s">
        <v>11</v>
      </c>
      <c r="C6" s="1">
        <v>10.81</v>
      </c>
      <c r="D6" s="1"/>
    </row>
    <row r="7" spans="1:11" ht="15" customHeight="1" x14ac:dyDescent="0.2">
      <c r="A7" s="1" t="s">
        <v>9</v>
      </c>
      <c r="B7" s="1" t="s">
        <v>12</v>
      </c>
      <c r="C7" s="1">
        <v>10.81</v>
      </c>
      <c r="D7" s="1"/>
    </row>
    <row r="8" spans="1:11" ht="15" customHeight="1" x14ac:dyDescent="0.2">
      <c r="A8" s="1" t="s">
        <v>9</v>
      </c>
      <c r="B8" s="1" t="s">
        <v>13</v>
      </c>
      <c r="C8" s="1">
        <v>12</v>
      </c>
      <c r="D8" s="1"/>
    </row>
    <row r="9" spans="1:11" ht="15" customHeight="1" x14ac:dyDescent="0.2">
      <c r="A9" s="1" t="s">
        <v>14</v>
      </c>
      <c r="B9" s="1" t="s">
        <v>15</v>
      </c>
      <c r="C9" s="1">
        <v>30</v>
      </c>
      <c r="D9" s="1"/>
    </row>
    <row r="10" spans="1:11" ht="15" customHeight="1" x14ac:dyDescent="0.2">
      <c r="A10" s="1" t="s">
        <v>14</v>
      </c>
      <c r="B10" s="1" t="s">
        <v>16</v>
      </c>
      <c r="C10" s="1">
        <v>19</v>
      </c>
      <c r="D10" s="1"/>
    </row>
    <row r="11" spans="1:11" ht="15" customHeight="1" x14ac:dyDescent="0.2">
      <c r="A11" s="1" t="s">
        <v>9</v>
      </c>
      <c r="B11" s="1" t="s">
        <v>17</v>
      </c>
      <c r="C11" s="1">
        <v>8.11</v>
      </c>
    </row>
    <row r="12" spans="1:11" ht="15" customHeight="1" x14ac:dyDescent="0.2">
      <c r="A12" s="1"/>
      <c r="B12" s="1"/>
      <c r="C12" s="1"/>
    </row>
    <row r="13" spans="1:11" ht="15" customHeight="1" x14ac:dyDescent="0.2">
      <c r="A13" s="1" t="s">
        <v>21</v>
      </c>
      <c r="B13" s="1" t="s">
        <v>104</v>
      </c>
      <c r="C13" s="1">
        <v>1.31</v>
      </c>
    </row>
    <row r="14" spans="1:11" ht="15" customHeight="1" x14ac:dyDescent="0.2">
      <c r="A14" s="1" t="s">
        <v>19</v>
      </c>
      <c r="B14" s="1" t="s">
        <v>95</v>
      </c>
      <c r="C14" s="1">
        <v>7.57</v>
      </c>
    </row>
    <row r="15" spans="1:11" ht="15" customHeight="1" x14ac:dyDescent="0.2">
      <c r="A15" s="1" t="s">
        <v>21</v>
      </c>
      <c r="B15" s="1" t="s">
        <v>24</v>
      </c>
      <c r="C15" s="1">
        <v>7.74</v>
      </c>
    </row>
    <row r="16" spans="1:11" ht="15" customHeight="1" x14ac:dyDescent="0.2">
      <c r="A16" s="1" t="s">
        <v>21</v>
      </c>
      <c r="B16" s="1" t="s">
        <v>137</v>
      </c>
      <c r="C16" s="1">
        <v>7.99</v>
      </c>
    </row>
    <row r="17" spans="1:4" ht="15" customHeight="1" x14ac:dyDescent="0.2">
      <c r="A17" s="1" t="s">
        <v>77</v>
      </c>
      <c r="B17" s="1" t="s">
        <v>108</v>
      </c>
      <c r="C17" s="1">
        <v>43.88</v>
      </c>
      <c r="D17" s="8">
        <v>45840</v>
      </c>
    </row>
    <row r="18" spans="1:4" ht="15" customHeight="1" x14ac:dyDescent="0.2">
      <c r="A18" s="1"/>
      <c r="B18" s="1"/>
      <c r="C18" s="1"/>
    </row>
    <row r="19" spans="1:4" ht="15" customHeight="1" x14ac:dyDescent="0.2">
      <c r="A19" s="1"/>
      <c r="B19" s="1"/>
      <c r="C19" s="1"/>
    </row>
    <row r="20" spans="1:4" ht="15" customHeight="1" x14ac:dyDescent="0.2">
      <c r="A20" s="1"/>
      <c r="B20" s="1"/>
      <c r="C20" s="1"/>
    </row>
    <row r="21" spans="1:4" ht="15" customHeight="1" x14ac:dyDescent="0.2">
      <c r="A21" s="1"/>
      <c r="B21" s="1"/>
      <c r="C21" s="1"/>
    </row>
    <row r="22" spans="1:4" ht="15" customHeight="1" x14ac:dyDescent="0.2">
      <c r="A22" s="1"/>
      <c r="B22" s="1"/>
      <c r="C22" s="1"/>
    </row>
    <row r="23" spans="1:4" ht="15" customHeight="1" x14ac:dyDescent="0.2">
      <c r="A23" s="1"/>
      <c r="B23" s="1"/>
      <c r="C23" s="1"/>
    </row>
    <row r="24" spans="1:4" ht="15" customHeight="1" x14ac:dyDescent="0.2">
      <c r="A24" s="1"/>
      <c r="B24" s="1"/>
      <c r="C24" s="1"/>
    </row>
    <row r="25" spans="1:4" ht="15" customHeight="1" x14ac:dyDescent="0.2">
      <c r="A25" s="1"/>
      <c r="B25" s="1"/>
      <c r="C25" s="1"/>
    </row>
    <row r="26" spans="1:4" ht="15" customHeight="1" x14ac:dyDescent="0.2">
      <c r="A26" s="1"/>
      <c r="B26" s="1"/>
      <c r="C26" s="1"/>
    </row>
    <row r="27" spans="1:4" ht="15" customHeight="1" x14ac:dyDescent="0.2">
      <c r="A27" s="1"/>
      <c r="B27" s="1"/>
      <c r="C27" s="1"/>
    </row>
    <row r="28" spans="1:4" ht="15" customHeight="1" x14ac:dyDescent="0.2">
      <c r="A28" s="1"/>
      <c r="B28" s="1"/>
      <c r="C28" s="1"/>
    </row>
    <row r="29" spans="1:4" ht="15" customHeight="1" x14ac:dyDescent="0.2">
      <c r="A29" s="1"/>
      <c r="B29" s="1"/>
      <c r="C29" s="1"/>
    </row>
    <row r="30" spans="1:4" ht="15" customHeight="1" x14ac:dyDescent="0.2">
      <c r="A30" s="1"/>
      <c r="B30" s="1"/>
      <c r="C30" s="1"/>
    </row>
    <row r="31" spans="1:4" ht="15.75" customHeight="1" x14ac:dyDescent="0.2">
      <c r="A31" s="1"/>
      <c r="B31" s="1"/>
      <c r="C31" s="2"/>
    </row>
    <row r="32" spans="1:4" ht="15" customHeight="1" x14ac:dyDescent="0.2">
      <c r="A32" s="1"/>
      <c r="B32" s="1"/>
      <c r="C32" s="1"/>
    </row>
    <row r="33" spans="1:3" ht="15" customHeight="1" x14ac:dyDescent="0.2">
      <c r="A33" s="1"/>
      <c r="B33" s="1"/>
      <c r="C33" s="1"/>
    </row>
    <row r="34" spans="1:3" ht="15" customHeight="1" x14ac:dyDescent="0.2">
      <c r="A34" s="1"/>
      <c r="B34" s="1"/>
      <c r="C34" s="1"/>
    </row>
    <row r="35" spans="1:3" ht="15" customHeight="1" x14ac:dyDescent="0.2">
      <c r="A35" s="1"/>
      <c r="B35" s="1"/>
      <c r="C35" s="1"/>
    </row>
    <row r="36" spans="1:3" ht="15" customHeight="1" x14ac:dyDescent="0.2">
      <c r="A36" s="1"/>
      <c r="B36" s="1"/>
      <c r="C36" s="1"/>
    </row>
    <row r="37" spans="1:3" ht="15" customHeight="1" x14ac:dyDescent="0.2">
      <c r="A37" s="1"/>
      <c r="B37" s="1"/>
      <c r="C37" s="1"/>
    </row>
    <row r="38" spans="1:3" ht="15" customHeight="1" x14ac:dyDescent="0.2">
      <c r="A38" s="1"/>
      <c r="B38" s="1"/>
      <c r="C38" s="1"/>
    </row>
    <row r="39" spans="1:3" ht="15" customHeight="1" x14ac:dyDescent="0.2">
      <c r="A39" s="1"/>
      <c r="B39" s="1"/>
      <c r="C39" s="1"/>
    </row>
    <row r="40" spans="1:3" ht="15" customHeight="1" x14ac:dyDescent="0.2">
      <c r="A40" s="1"/>
      <c r="B40" s="1"/>
      <c r="C40" s="1"/>
    </row>
    <row r="41" spans="1:3" ht="15" customHeight="1" x14ac:dyDescent="0.2">
      <c r="A41" s="1"/>
      <c r="B41" s="1"/>
      <c r="C41" s="1"/>
    </row>
    <row r="42" spans="1:3" ht="15" customHeight="1" x14ac:dyDescent="0.2">
      <c r="A42" s="1"/>
      <c r="B42" s="1"/>
      <c r="C42" s="1"/>
    </row>
    <row r="43" spans="1:3" ht="15" customHeight="1" x14ac:dyDescent="0.2">
      <c r="A43" s="1"/>
      <c r="B43" s="1"/>
      <c r="C43" s="1"/>
    </row>
    <row r="44" spans="1:3" ht="15" customHeight="1" x14ac:dyDescent="0.2">
      <c r="A44" s="1"/>
      <c r="B44" s="1"/>
      <c r="C44" s="1"/>
    </row>
    <row r="45" spans="1:3" ht="15" customHeight="1" x14ac:dyDescent="0.2">
      <c r="A45" s="1"/>
      <c r="B45" s="1"/>
      <c r="C45" s="1"/>
    </row>
    <row r="46" spans="1:3" ht="15" customHeight="1" x14ac:dyDescent="0.2">
      <c r="A46" s="1"/>
      <c r="B46" s="1"/>
      <c r="C46" s="1"/>
    </row>
    <row r="47" spans="1:3" ht="15.75" customHeight="1" x14ac:dyDescent="0.2">
      <c r="A47" s="2"/>
      <c r="B47" s="2"/>
      <c r="C47" s="2"/>
    </row>
    <row r="48" spans="1:3" ht="15" customHeight="1" x14ac:dyDescent="0.2">
      <c r="A48" s="1"/>
      <c r="B48" s="1"/>
      <c r="C48" s="1"/>
    </row>
    <row r="49" spans="1:3" ht="15" customHeight="1" x14ac:dyDescent="0.2">
      <c r="A49" s="1"/>
      <c r="B49" s="1"/>
      <c r="C49" s="1"/>
    </row>
    <row r="50" spans="1:3" ht="15" customHeight="1" x14ac:dyDescent="0.2">
      <c r="A50" s="1"/>
      <c r="B50" s="1"/>
      <c r="C50" s="1"/>
    </row>
    <row r="51" spans="1:3" ht="15" customHeight="1" x14ac:dyDescent="0.2">
      <c r="A51" s="1"/>
      <c r="B51" s="1"/>
      <c r="C51" s="1"/>
    </row>
    <row r="52" spans="1:3" ht="15" customHeight="1" x14ac:dyDescent="0.2">
      <c r="A52" s="1"/>
      <c r="B52" s="1"/>
      <c r="C52" s="1"/>
    </row>
    <row r="53" spans="1:3" ht="15" customHeight="1" x14ac:dyDescent="0.2">
      <c r="A53" s="1"/>
      <c r="B53" s="1"/>
      <c r="C53" s="1"/>
    </row>
    <row r="54" spans="1:3" ht="15" customHeight="1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March 2025</vt:lpstr>
      <vt:lpstr>April 2025</vt:lpstr>
      <vt:lpstr>May 2025</vt:lpstr>
      <vt:lpstr>June 2025</vt:lpstr>
      <vt:lpstr>July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Sekar, Rithika</dc:creator>
  <cp:lastModifiedBy>Kopivinopa, Prakash</cp:lastModifiedBy>
  <dcterms:created xsi:type="dcterms:W3CDTF">2024-03-23T07:44:30Z</dcterms:created>
  <dcterms:modified xsi:type="dcterms:W3CDTF">2025-07-03T21:07:50Z</dcterms:modified>
</cp:coreProperties>
</file>